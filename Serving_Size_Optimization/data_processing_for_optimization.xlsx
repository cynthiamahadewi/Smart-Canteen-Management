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li\Desktop\242b\Team_Project\"/>
    </mc:Choice>
  </mc:AlternateContent>
  <xr:revisionPtr revIDLastSave="0" documentId="13_ncr:1_{E668B7FD-D81C-4066-8185-D462DF036020}" xr6:coauthVersionLast="47" xr6:coauthVersionMax="47" xr10:uidLastSave="{00000000-0000-0000-0000-000000000000}"/>
  <bookViews>
    <workbookView xWindow="3195" yWindow="225" windowWidth="17505" windowHeight="14625" activeTab="8" xr2:uid="{00000000-000D-0000-FFFF-FFFF00000000}"/>
  </bookViews>
  <sheets>
    <sheet name="31" sheetId="1" r:id="rId1"/>
    <sheet name="23" sheetId="2" r:id="rId2"/>
    <sheet name="15" sheetId="3" r:id="rId3"/>
    <sheet name="13" sheetId="4" r:id="rId4"/>
    <sheet name="12" sheetId="5" r:id="rId5"/>
    <sheet name="11" sheetId="6" r:id="rId6"/>
    <sheet name="9" sheetId="7" r:id="rId7"/>
    <sheet name="7" sheetId="8" r:id="rId8"/>
    <sheet name="1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E80" i="9"/>
  <c r="C80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24" i="9"/>
  <c r="E25" i="9"/>
  <c r="E26" i="9"/>
  <c r="E27" i="9"/>
  <c r="E28" i="9"/>
  <c r="E29" i="9"/>
  <c r="E30" i="9"/>
  <c r="E31" i="9"/>
  <c r="E32" i="9"/>
  <c r="E33" i="9"/>
  <c r="E3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C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C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23" i="7" s="1"/>
  <c r="C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20" i="6" s="1"/>
  <c r="C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C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24" i="4" s="1"/>
  <c r="C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2" i="3" s="1"/>
  <c r="E2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" i="2"/>
  <c r="C2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E24" i="1" s="1"/>
  <c r="E22" i="8" l="1"/>
  <c r="E18" i="5"/>
</calcChain>
</file>

<file path=xl/sharedStrings.xml><?xml version="1.0" encoding="utf-8"?>
<sst xmlns="http://schemas.openxmlformats.org/spreadsheetml/2006/main" count="311" uniqueCount="34">
  <si>
    <t>Orek tempe</t>
  </si>
  <si>
    <t>ID</t>
  </si>
  <si>
    <t>Name of the food</t>
  </si>
  <si>
    <t>Weight Before Eaten (g)</t>
  </si>
  <si>
    <t>Weight After Eaten (g)</t>
  </si>
  <si>
    <t>Consumption Ratio</t>
    <phoneticPr fontId="1" type="noConversion"/>
  </si>
  <si>
    <t>Average</t>
    <phoneticPr fontId="1" type="noConversion"/>
  </si>
  <si>
    <t>Bali Tahu</t>
  </si>
  <si>
    <t>Telur Mata Sapi</t>
  </si>
  <si>
    <t>Ayam bumbu bistik</t>
  </si>
  <si>
    <t>Ayam bumbu laos</t>
  </si>
  <si>
    <t>Rendang ayam</t>
  </si>
  <si>
    <t>Bali Telur</t>
  </si>
  <si>
    <t>Ikan Acar Kuning</t>
  </si>
  <si>
    <t>Nasi</t>
  </si>
  <si>
    <t>Demand = 22</t>
    <phoneticPr fontId="1" type="noConversion"/>
  </si>
  <si>
    <t>Demand = 20</t>
    <phoneticPr fontId="1" type="noConversion"/>
  </si>
  <si>
    <t>Demand = 16</t>
    <phoneticPr fontId="1" type="noConversion"/>
  </si>
  <si>
    <t>Demand = 18</t>
    <phoneticPr fontId="1" type="noConversion"/>
  </si>
  <si>
    <t>Demand =21</t>
    <phoneticPr fontId="1" type="noConversion"/>
  </si>
  <si>
    <t>Demand = 78</t>
    <phoneticPr fontId="1" type="noConversion"/>
  </si>
  <si>
    <t>Orek tempe</t>
    <phoneticPr fontId="1" type="noConversion"/>
  </si>
  <si>
    <t>Bali Tahu</t>
    <phoneticPr fontId="1" type="noConversion"/>
  </si>
  <si>
    <t>Telur Mata Sapi</t>
    <phoneticPr fontId="1" type="noConversion"/>
  </si>
  <si>
    <t>Ayam bumbu bistik</t>
    <phoneticPr fontId="1" type="noConversion"/>
  </si>
  <si>
    <t>Ayam bumbu laos</t>
    <phoneticPr fontId="1" type="noConversion"/>
  </si>
  <si>
    <t>Rendang ayam</t>
    <phoneticPr fontId="1" type="noConversion"/>
  </si>
  <si>
    <t>Bali Telur</t>
    <phoneticPr fontId="1" type="noConversion"/>
  </si>
  <si>
    <t>Ikan Acar Kuning</t>
    <phoneticPr fontId="1" type="noConversion"/>
  </si>
  <si>
    <t>Nasi</t>
    <phoneticPr fontId="1" type="noConversion"/>
  </si>
  <si>
    <t>Coefficient α = 0.1</t>
    <phoneticPr fontId="1" type="noConversion"/>
  </si>
  <si>
    <t>Coefficient α = 1.6</t>
  </si>
  <si>
    <t>Coefficient α = 1.6</t>
    <phoneticPr fontId="1" type="noConversion"/>
  </si>
  <si>
    <t>Coefficient α = 0.8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</si>
</sst>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80" fontId="3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80" fontId="3" fillId="0" borderId="0" xfId="0" applyNumberFormat="1" applyFont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selection activeCell="C24" sqref="C24"/>
    </sheetView>
  </sheetViews>
  <sheetFormatPr defaultRowHeight="14.25" x14ac:dyDescent="0.2"/>
  <cols>
    <col min="1" max="1" width="22.125" customWidth="1"/>
    <col min="2" max="2" width="27.375" customWidth="1"/>
    <col min="3" max="3" width="23.125" customWidth="1"/>
    <col min="4" max="4" width="27.125" customWidth="1"/>
    <col min="5" max="5" width="38.875" customWidth="1"/>
  </cols>
  <sheetData>
    <row r="1" spans="1:5" s="1" customFormat="1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x14ac:dyDescent="0.2">
      <c r="A2" s="1">
        <v>504</v>
      </c>
      <c r="B2" s="2" t="s">
        <v>21</v>
      </c>
      <c r="C2" s="2">
        <v>27</v>
      </c>
      <c r="D2" s="2">
        <v>27</v>
      </c>
      <c r="E2" s="2">
        <f>1-D2/C2</f>
        <v>0</v>
      </c>
    </row>
    <row r="3" spans="1:5" x14ac:dyDescent="0.2">
      <c r="A3" s="1">
        <v>505</v>
      </c>
      <c r="B3" s="2" t="s">
        <v>0</v>
      </c>
      <c r="C3" s="2">
        <v>29</v>
      </c>
      <c r="D3" s="2">
        <v>28</v>
      </c>
      <c r="E3" s="5">
        <f t="shared" ref="E3:E23" si="0">1-D3/C3</f>
        <v>3.4482758620689613E-2</v>
      </c>
    </row>
    <row r="4" spans="1:5" x14ac:dyDescent="0.2">
      <c r="A4" s="1">
        <v>506</v>
      </c>
      <c r="B4" s="2" t="s">
        <v>0</v>
      </c>
      <c r="C4" s="2">
        <v>28</v>
      </c>
      <c r="D4" s="2">
        <v>0</v>
      </c>
      <c r="E4" s="5">
        <f t="shared" si="0"/>
        <v>1</v>
      </c>
    </row>
    <row r="5" spans="1:5" x14ac:dyDescent="0.2">
      <c r="A5" s="1">
        <v>507</v>
      </c>
      <c r="B5" s="2" t="s">
        <v>0</v>
      </c>
      <c r="C5" s="2">
        <v>27</v>
      </c>
      <c r="D5" s="2">
        <v>20</v>
      </c>
      <c r="E5" s="5">
        <f t="shared" si="0"/>
        <v>0.2592592592592593</v>
      </c>
    </row>
    <row r="6" spans="1:5" x14ac:dyDescent="0.2">
      <c r="A6" s="1">
        <v>508</v>
      </c>
      <c r="B6" s="2" t="s">
        <v>0</v>
      </c>
      <c r="C6" s="2">
        <v>30</v>
      </c>
      <c r="D6" s="2">
        <v>16</v>
      </c>
      <c r="E6" s="5">
        <f t="shared" si="0"/>
        <v>0.46666666666666667</v>
      </c>
    </row>
    <row r="7" spans="1:5" x14ac:dyDescent="0.2">
      <c r="A7" s="1">
        <v>509</v>
      </c>
      <c r="B7" s="2" t="s">
        <v>0</v>
      </c>
      <c r="C7" s="2">
        <v>30</v>
      </c>
      <c r="D7" s="2">
        <v>10</v>
      </c>
      <c r="E7" s="5">
        <f t="shared" si="0"/>
        <v>0.66666666666666674</v>
      </c>
    </row>
    <row r="8" spans="1:5" x14ac:dyDescent="0.2">
      <c r="A8" s="1">
        <v>510</v>
      </c>
      <c r="B8" s="2" t="s">
        <v>0</v>
      </c>
      <c r="C8" s="2">
        <v>26</v>
      </c>
      <c r="D8" s="2">
        <v>0</v>
      </c>
      <c r="E8" s="5">
        <f t="shared" si="0"/>
        <v>1</v>
      </c>
    </row>
    <row r="9" spans="1:5" x14ac:dyDescent="0.2">
      <c r="A9" s="1">
        <v>511</v>
      </c>
      <c r="B9" s="2" t="s">
        <v>0</v>
      </c>
      <c r="C9" s="2">
        <v>35</v>
      </c>
      <c r="D9" s="2">
        <v>0</v>
      </c>
      <c r="E9" s="5">
        <f t="shared" si="0"/>
        <v>1</v>
      </c>
    </row>
    <row r="10" spans="1:5" x14ac:dyDescent="0.2">
      <c r="A10" s="1">
        <v>512</v>
      </c>
      <c r="B10" s="2" t="s">
        <v>0</v>
      </c>
      <c r="C10" s="2">
        <v>35</v>
      </c>
      <c r="D10" s="2">
        <v>28</v>
      </c>
      <c r="E10" s="5">
        <f t="shared" si="0"/>
        <v>0.19999999999999996</v>
      </c>
    </row>
    <row r="11" spans="1:5" x14ac:dyDescent="0.2">
      <c r="A11" s="1">
        <v>513</v>
      </c>
      <c r="B11" s="2" t="s">
        <v>0</v>
      </c>
      <c r="C11" s="2">
        <v>31</v>
      </c>
      <c r="D11" s="2">
        <v>0</v>
      </c>
      <c r="E11" s="5">
        <f t="shared" si="0"/>
        <v>1</v>
      </c>
    </row>
    <row r="12" spans="1:5" x14ac:dyDescent="0.2">
      <c r="A12" s="1">
        <v>514</v>
      </c>
      <c r="B12" s="2" t="s">
        <v>0</v>
      </c>
      <c r="C12" s="2">
        <v>27</v>
      </c>
      <c r="D12" s="2">
        <v>21</v>
      </c>
      <c r="E12" s="5">
        <f t="shared" si="0"/>
        <v>0.22222222222222221</v>
      </c>
    </row>
    <row r="13" spans="1:5" x14ac:dyDescent="0.2">
      <c r="A13" s="1">
        <v>515</v>
      </c>
      <c r="B13" s="2" t="s">
        <v>0</v>
      </c>
      <c r="C13" s="2">
        <v>32</v>
      </c>
      <c r="D13" s="2">
        <v>32</v>
      </c>
      <c r="E13" s="5">
        <f t="shared" si="0"/>
        <v>0</v>
      </c>
    </row>
    <row r="14" spans="1:5" x14ac:dyDescent="0.2">
      <c r="A14" s="1">
        <v>516</v>
      </c>
      <c r="B14" s="2" t="s">
        <v>0</v>
      </c>
      <c r="C14" s="2">
        <v>20</v>
      </c>
      <c r="D14" s="2">
        <v>19</v>
      </c>
      <c r="E14" s="5">
        <f t="shared" si="0"/>
        <v>5.0000000000000044E-2</v>
      </c>
    </row>
    <row r="15" spans="1:5" x14ac:dyDescent="0.2">
      <c r="A15" s="1">
        <v>517</v>
      </c>
      <c r="B15" s="2" t="s">
        <v>0</v>
      </c>
      <c r="C15" s="2">
        <v>26</v>
      </c>
      <c r="D15" s="2">
        <v>0</v>
      </c>
      <c r="E15" s="5">
        <f t="shared" si="0"/>
        <v>1</v>
      </c>
    </row>
    <row r="16" spans="1:5" x14ac:dyDescent="0.2">
      <c r="A16" s="1">
        <v>518</v>
      </c>
      <c r="B16" s="2" t="s">
        <v>0</v>
      </c>
      <c r="C16" s="2">
        <v>22</v>
      </c>
      <c r="D16" s="2">
        <v>0</v>
      </c>
      <c r="E16" s="5">
        <f t="shared" si="0"/>
        <v>1</v>
      </c>
    </row>
    <row r="17" spans="1:5" x14ac:dyDescent="0.2">
      <c r="A17" s="1">
        <v>519</v>
      </c>
      <c r="B17" s="2" t="s">
        <v>0</v>
      </c>
      <c r="C17" s="2">
        <v>26</v>
      </c>
      <c r="D17" s="2">
        <v>0</v>
      </c>
      <c r="E17" s="5">
        <f t="shared" si="0"/>
        <v>1</v>
      </c>
    </row>
    <row r="18" spans="1:5" x14ac:dyDescent="0.2">
      <c r="A18" s="1">
        <v>520</v>
      </c>
      <c r="B18" s="2" t="s">
        <v>0</v>
      </c>
      <c r="C18" s="2">
        <v>32</v>
      </c>
      <c r="D18" s="2">
        <v>0</v>
      </c>
      <c r="E18" s="5">
        <f t="shared" si="0"/>
        <v>1</v>
      </c>
    </row>
    <row r="19" spans="1:5" x14ac:dyDescent="0.2">
      <c r="A19" s="1">
        <v>521</v>
      </c>
      <c r="B19" s="2" t="s">
        <v>0</v>
      </c>
      <c r="C19" s="2">
        <v>39</v>
      </c>
      <c r="D19" s="2">
        <v>29</v>
      </c>
      <c r="E19" s="5">
        <f t="shared" si="0"/>
        <v>0.25641025641025639</v>
      </c>
    </row>
    <row r="20" spans="1:5" x14ac:dyDescent="0.2">
      <c r="A20" s="1">
        <v>522</v>
      </c>
      <c r="B20" s="2" t="s">
        <v>0</v>
      </c>
      <c r="C20" s="2">
        <v>41</v>
      </c>
      <c r="D20" s="2">
        <v>0</v>
      </c>
      <c r="E20" s="5">
        <f t="shared" si="0"/>
        <v>1</v>
      </c>
    </row>
    <row r="21" spans="1:5" x14ac:dyDescent="0.2">
      <c r="A21" s="1">
        <v>523</v>
      </c>
      <c r="B21" s="2" t="s">
        <v>0</v>
      </c>
      <c r="C21" s="2">
        <v>30</v>
      </c>
      <c r="D21" s="2">
        <v>13</v>
      </c>
      <c r="E21" s="5">
        <f t="shared" si="0"/>
        <v>0.56666666666666665</v>
      </c>
    </row>
    <row r="22" spans="1:5" x14ac:dyDescent="0.2">
      <c r="A22" s="1">
        <v>524</v>
      </c>
      <c r="B22" s="2" t="s">
        <v>0</v>
      </c>
      <c r="C22" s="2">
        <v>30</v>
      </c>
      <c r="D22" s="2">
        <v>1</v>
      </c>
      <c r="E22" s="5">
        <f t="shared" si="0"/>
        <v>0.96666666666666667</v>
      </c>
    </row>
    <row r="23" spans="1:5" x14ac:dyDescent="0.2">
      <c r="A23" s="1">
        <v>525</v>
      </c>
      <c r="B23" s="2" t="s">
        <v>0</v>
      </c>
      <c r="C23" s="2">
        <v>28</v>
      </c>
      <c r="D23" s="2">
        <v>8</v>
      </c>
      <c r="E23" s="5">
        <f t="shared" si="0"/>
        <v>0.7142857142857143</v>
      </c>
    </row>
    <row r="24" spans="1:5" s="3" customFormat="1" x14ac:dyDescent="0.2">
      <c r="A24" s="7" t="s">
        <v>6</v>
      </c>
      <c r="B24" s="5"/>
      <c r="C24" s="6">
        <f>AVERAGE(C2:C23)</f>
        <v>29.59090909090909</v>
      </c>
      <c r="D24" s="5"/>
      <c r="E24" s="6">
        <f>AVERAGE(E2:E23)</f>
        <v>0.60924213079385481</v>
      </c>
    </row>
    <row r="25" spans="1:5" x14ac:dyDescent="0.2">
      <c r="A25" s="3"/>
    </row>
    <row r="26" spans="1:5" x14ac:dyDescent="0.2">
      <c r="A26" s="3"/>
    </row>
    <row r="27" spans="1:5" x14ac:dyDescent="0.2">
      <c r="A27" s="3" t="s">
        <v>15</v>
      </c>
    </row>
    <row r="28" spans="1:5" x14ac:dyDescent="0.2">
      <c r="A28" s="3" t="s">
        <v>30</v>
      </c>
    </row>
    <row r="29" spans="1:5" x14ac:dyDescent="0.2">
      <c r="A29" s="3"/>
    </row>
    <row r="30" spans="1:5" x14ac:dyDescent="0.2">
      <c r="A30" s="3"/>
    </row>
    <row r="31" spans="1:5" x14ac:dyDescent="0.2">
      <c r="A31" s="3"/>
    </row>
    <row r="32" spans="1:5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1704-EEFB-4FDA-B8FF-F0C3C233C864}">
  <dimension ref="A1:E28"/>
  <sheetViews>
    <sheetView workbookViewId="0">
      <selection activeCell="C28" sqref="C28"/>
    </sheetView>
  </sheetViews>
  <sheetFormatPr defaultRowHeight="14.25" x14ac:dyDescent="0.2"/>
  <cols>
    <col min="1" max="1" width="22.25" customWidth="1"/>
    <col min="2" max="2" width="27.5" customWidth="1"/>
    <col min="3" max="3" width="36.375" customWidth="1"/>
    <col min="4" max="4" width="23.875" customWidth="1"/>
    <col min="5" max="5" width="26.125" customWidth="1"/>
  </cols>
  <sheetData>
    <row r="1" spans="1:5" s="8" customFormat="1" ht="15" x14ac:dyDescent="0.2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</row>
    <row r="2" spans="1:5" x14ac:dyDescent="0.2">
      <c r="A2" s="8">
        <v>388</v>
      </c>
      <c r="B2" s="10" t="s">
        <v>22</v>
      </c>
      <c r="C2" s="10">
        <v>35</v>
      </c>
      <c r="D2" s="10">
        <v>33</v>
      </c>
      <c r="E2" s="10">
        <f>1-D2/C2</f>
        <v>5.7142857142857162E-2</v>
      </c>
    </row>
    <row r="3" spans="1:5" x14ac:dyDescent="0.2">
      <c r="A3" s="8">
        <v>389</v>
      </c>
      <c r="B3" s="10" t="s">
        <v>7</v>
      </c>
      <c r="C3" s="10">
        <v>41</v>
      </c>
      <c r="D3" s="10">
        <v>41</v>
      </c>
      <c r="E3" s="10">
        <f t="shared" ref="E3:E23" si="0">1-D3/C3</f>
        <v>0</v>
      </c>
    </row>
    <row r="4" spans="1:5" x14ac:dyDescent="0.2">
      <c r="A4" s="8">
        <v>391</v>
      </c>
      <c r="B4" s="10" t="s">
        <v>7</v>
      </c>
      <c r="C4" s="10">
        <v>35</v>
      </c>
      <c r="D4" s="10">
        <v>34</v>
      </c>
      <c r="E4" s="10">
        <f t="shared" si="0"/>
        <v>2.8571428571428581E-2</v>
      </c>
    </row>
    <row r="5" spans="1:5" x14ac:dyDescent="0.2">
      <c r="A5" s="8">
        <v>392</v>
      </c>
      <c r="B5" s="10" t="s">
        <v>7</v>
      </c>
      <c r="C5" s="10">
        <v>38</v>
      </c>
      <c r="D5" s="10">
        <v>0</v>
      </c>
      <c r="E5" s="10">
        <f t="shared" si="0"/>
        <v>1</v>
      </c>
    </row>
    <row r="6" spans="1:5" x14ac:dyDescent="0.2">
      <c r="A6" s="8">
        <v>393</v>
      </c>
      <c r="B6" s="10" t="s">
        <v>7</v>
      </c>
      <c r="C6" s="10">
        <v>67</v>
      </c>
      <c r="D6" s="10">
        <v>64</v>
      </c>
      <c r="E6" s="10">
        <f t="shared" si="0"/>
        <v>4.4776119402985093E-2</v>
      </c>
    </row>
    <row r="7" spans="1:5" x14ac:dyDescent="0.2">
      <c r="A7" s="8">
        <v>394</v>
      </c>
      <c r="B7" s="10" t="s">
        <v>7</v>
      </c>
      <c r="C7" s="10">
        <v>51</v>
      </c>
      <c r="D7" s="10">
        <v>47</v>
      </c>
      <c r="E7" s="10">
        <f t="shared" si="0"/>
        <v>7.8431372549019662E-2</v>
      </c>
    </row>
    <row r="8" spans="1:5" x14ac:dyDescent="0.2">
      <c r="A8" s="8">
        <v>395</v>
      </c>
      <c r="B8" s="10" t="s">
        <v>7</v>
      </c>
      <c r="C8" s="10">
        <v>34</v>
      </c>
      <c r="D8" s="10">
        <v>0</v>
      </c>
      <c r="E8" s="10">
        <f t="shared" si="0"/>
        <v>1</v>
      </c>
    </row>
    <row r="9" spans="1:5" x14ac:dyDescent="0.2">
      <c r="A9" s="8">
        <v>396</v>
      </c>
      <c r="B9" s="10" t="s">
        <v>7</v>
      </c>
      <c r="C9" s="10">
        <v>41</v>
      </c>
      <c r="D9" s="10">
        <v>41</v>
      </c>
      <c r="E9" s="10">
        <f t="shared" si="0"/>
        <v>0</v>
      </c>
    </row>
    <row r="10" spans="1:5" x14ac:dyDescent="0.2">
      <c r="A10" s="8">
        <v>397</v>
      </c>
      <c r="B10" s="10" t="s">
        <v>7</v>
      </c>
      <c r="C10" s="10">
        <v>25</v>
      </c>
      <c r="D10" s="10">
        <v>0</v>
      </c>
      <c r="E10" s="10">
        <f t="shared" si="0"/>
        <v>1</v>
      </c>
    </row>
    <row r="11" spans="1:5" x14ac:dyDescent="0.2">
      <c r="A11" s="8">
        <v>398</v>
      </c>
      <c r="B11" s="10" t="s">
        <v>7</v>
      </c>
      <c r="C11" s="10">
        <v>18</v>
      </c>
      <c r="D11" s="10">
        <v>18</v>
      </c>
      <c r="E11" s="10">
        <f t="shared" si="0"/>
        <v>0</v>
      </c>
    </row>
    <row r="12" spans="1:5" x14ac:dyDescent="0.2">
      <c r="A12" s="8">
        <v>399</v>
      </c>
      <c r="B12" s="10" t="s">
        <v>7</v>
      </c>
      <c r="C12" s="10">
        <v>18</v>
      </c>
      <c r="D12" s="10">
        <v>0</v>
      </c>
      <c r="E12" s="10">
        <f t="shared" si="0"/>
        <v>1</v>
      </c>
    </row>
    <row r="13" spans="1:5" x14ac:dyDescent="0.2">
      <c r="A13" s="8">
        <v>400</v>
      </c>
      <c r="B13" s="10" t="s">
        <v>7</v>
      </c>
      <c r="C13" s="10">
        <v>30</v>
      </c>
      <c r="D13" s="10">
        <v>0</v>
      </c>
      <c r="E13" s="10">
        <f t="shared" si="0"/>
        <v>1</v>
      </c>
    </row>
    <row r="14" spans="1:5" x14ac:dyDescent="0.2">
      <c r="A14" s="8">
        <v>401</v>
      </c>
      <c r="B14" s="10" t="s">
        <v>7</v>
      </c>
      <c r="C14" s="10">
        <v>18</v>
      </c>
      <c r="D14" s="10">
        <v>0</v>
      </c>
      <c r="E14" s="10">
        <f t="shared" si="0"/>
        <v>1</v>
      </c>
    </row>
    <row r="15" spans="1:5" x14ac:dyDescent="0.2">
      <c r="A15" s="8">
        <v>402</v>
      </c>
      <c r="B15" s="10" t="s">
        <v>7</v>
      </c>
      <c r="C15" s="10">
        <v>20</v>
      </c>
      <c r="D15" s="10">
        <v>0</v>
      </c>
      <c r="E15" s="10">
        <f t="shared" si="0"/>
        <v>1</v>
      </c>
    </row>
    <row r="16" spans="1:5" x14ac:dyDescent="0.2">
      <c r="A16" s="8">
        <v>403</v>
      </c>
      <c r="B16" s="10" t="s">
        <v>7</v>
      </c>
      <c r="C16" s="10">
        <v>35</v>
      </c>
      <c r="D16" s="10">
        <v>34</v>
      </c>
      <c r="E16" s="10">
        <f t="shared" si="0"/>
        <v>2.8571428571428581E-2</v>
      </c>
    </row>
    <row r="17" spans="1:5" x14ac:dyDescent="0.2">
      <c r="A17" s="8">
        <v>404</v>
      </c>
      <c r="B17" s="10" t="s">
        <v>7</v>
      </c>
      <c r="C17" s="10">
        <v>35</v>
      </c>
      <c r="D17" s="10">
        <v>0</v>
      </c>
      <c r="E17" s="10">
        <f t="shared" si="0"/>
        <v>1</v>
      </c>
    </row>
    <row r="18" spans="1:5" x14ac:dyDescent="0.2">
      <c r="A18" s="8">
        <v>405</v>
      </c>
      <c r="B18" s="10" t="s">
        <v>7</v>
      </c>
      <c r="C18" s="10">
        <v>35</v>
      </c>
      <c r="D18" s="10">
        <v>0</v>
      </c>
      <c r="E18" s="10">
        <f t="shared" si="0"/>
        <v>1</v>
      </c>
    </row>
    <row r="19" spans="1:5" x14ac:dyDescent="0.2">
      <c r="A19" s="8">
        <v>407</v>
      </c>
      <c r="B19" s="10" t="s">
        <v>7</v>
      </c>
      <c r="C19" s="10">
        <v>36</v>
      </c>
      <c r="D19" s="10">
        <v>35</v>
      </c>
      <c r="E19" s="10">
        <f t="shared" si="0"/>
        <v>2.777777777777779E-2</v>
      </c>
    </row>
    <row r="20" spans="1:5" x14ac:dyDescent="0.2">
      <c r="A20" s="8">
        <v>408</v>
      </c>
      <c r="B20" s="10" t="s">
        <v>7</v>
      </c>
      <c r="C20" s="10">
        <v>36</v>
      </c>
      <c r="D20" s="10">
        <v>0</v>
      </c>
      <c r="E20" s="10">
        <f t="shared" si="0"/>
        <v>1</v>
      </c>
    </row>
    <row r="21" spans="1:5" x14ac:dyDescent="0.2">
      <c r="A21" s="8">
        <v>409</v>
      </c>
      <c r="B21" s="10" t="s">
        <v>7</v>
      </c>
      <c r="C21" s="10">
        <v>35</v>
      </c>
      <c r="D21" s="10">
        <v>34</v>
      </c>
      <c r="E21" s="10">
        <f t="shared" si="0"/>
        <v>2.8571428571428581E-2</v>
      </c>
    </row>
    <row r="22" spans="1:5" x14ac:dyDescent="0.2">
      <c r="A22" s="8">
        <v>410</v>
      </c>
      <c r="B22" s="10" t="s">
        <v>7</v>
      </c>
      <c r="C22" s="10">
        <v>43</v>
      </c>
      <c r="D22" s="10">
        <v>38</v>
      </c>
      <c r="E22" s="10">
        <f t="shared" si="0"/>
        <v>0.11627906976744184</v>
      </c>
    </row>
    <row r="23" spans="1:5" x14ac:dyDescent="0.2">
      <c r="A23" s="8">
        <v>411</v>
      </c>
      <c r="B23" s="10" t="s">
        <v>7</v>
      </c>
      <c r="C23" s="10">
        <v>36</v>
      </c>
      <c r="D23" s="10">
        <v>36</v>
      </c>
      <c r="E23" s="10">
        <f t="shared" si="0"/>
        <v>0</v>
      </c>
    </row>
    <row r="24" spans="1:5" x14ac:dyDescent="0.2">
      <c r="A24" s="7" t="s">
        <v>6</v>
      </c>
      <c r="C24" s="17">
        <f>AVERAGE(C2:C23)</f>
        <v>34.636363636363633</v>
      </c>
      <c r="D24" s="43"/>
      <c r="E24" s="6">
        <f>AVERAGE(E2:E23)</f>
        <v>0.47318734010701674</v>
      </c>
    </row>
    <row r="27" spans="1:5" x14ac:dyDescent="0.2">
      <c r="A27" s="41" t="s">
        <v>15</v>
      </c>
    </row>
    <row r="28" spans="1:5" x14ac:dyDescent="0.2">
      <c r="A28" t="s">
        <v>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3693-8B7D-42E1-857E-BE7E0F23F03D}">
  <dimension ref="A1:E26"/>
  <sheetViews>
    <sheetView workbookViewId="0">
      <selection activeCell="A26" sqref="A26"/>
    </sheetView>
  </sheetViews>
  <sheetFormatPr defaultRowHeight="14.25" x14ac:dyDescent="0.2"/>
  <cols>
    <col min="1" max="1" width="25.375" style="8" customWidth="1"/>
    <col min="2" max="2" width="27.375" style="8" customWidth="1"/>
    <col min="3" max="3" width="23.125" style="8" customWidth="1"/>
    <col min="4" max="4" width="27.125" style="8" customWidth="1"/>
    <col min="5" max="5" width="38.875" style="8" customWidth="1"/>
    <col min="6" max="16384" width="9" style="8"/>
  </cols>
  <sheetData>
    <row r="1" spans="1:5" ht="15" x14ac:dyDescent="0.2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</row>
    <row r="2" spans="1:5" x14ac:dyDescent="0.2">
      <c r="A2" s="11">
        <v>309</v>
      </c>
      <c r="B2" s="12" t="s">
        <v>8</v>
      </c>
      <c r="C2" s="13">
        <v>50</v>
      </c>
      <c r="D2" s="16">
        <v>0</v>
      </c>
      <c r="E2" s="10">
        <f>1-D2/C2</f>
        <v>1</v>
      </c>
    </row>
    <row r="3" spans="1:5" x14ac:dyDescent="0.2">
      <c r="A3" s="11">
        <v>310</v>
      </c>
      <c r="B3" s="12" t="s">
        <v>8</v>
      </c>
      <c r="C3" s="13">
        <v>47</v>
      </c>
      <c r="D3" s="16">
        <v>0</v>
      </c>
      <c r="E3" s="10">
        <f t="shared" ref="E3:E21" si="0">1-D3/C3</f>
        <v>1</v>
      </c>
    </row>
    <row r="4" spans="1:5" x14ac:dyDescent="0.2">
      <c r="A4" s="11">
        <v>311</v>
      </c>
      <c r="B4" s="12" t="s">
        <v>8</v>
      </c>
      <c r="C4" s="13">
        <v>46</v>
      </c>
      <c r="D4" s="16">
        <v>15</v>
      </c>
      <c r="E4" s="10">
        <f t="shared" si="0"/>
        <v>0.67391304347826086</v>
      </c>
    </row>
    <row r="5" spans="1:5" x14ac:dyDescent="0.2">
      <c r="A5" s="11">
        <v>312</v>
      </c>
      <c r="B5" s="12" t="s">
        <v>8</v>
      </c>
      <c r="C5" s="13">
        <v>45</v>
      </c>
      <c r="D5" s="16">
        <v>0</v>
      </c>
      <c r="E5" s="10">
        <f t="shared" si="0"/>
        <v>1</v>
      </c>
    </row>
    <row r="6" spans="1:5" x14ac:dyDescent="0.2">
      <c r="A6" s="11">
        <v>313</v>
      </c>
      <c r="B6" s="12" t="s">
        <v>8</v>
      </c>
      <c r="C6" s="13">
        <v>39</v>
      </c>
      <c r="D6" s="16">
        <v>18</v>
      </c>
      <c r="E6" s="10">
        <f t="shared" si="0"/>
        <v>0.53846153846153844</v>
      </c>
    </row>
    <row r="7" spans="1:5" x14ac:dyDescent="0.2">
      <c r="A7" s="11">
        <v>314</v>
      </c>
      <c r="B7" s="12" t="s">
        <v>8</v>
      </c>
      <c r="C7" s="13">
        <v>58</v>
      </c>
      <c r="D7" s="16">
        <v>4</v>
      </c>
      <c r="E7" s="10">
        <f t="shared" si="0"/>
        <v>0.93103448275862066</v>
      </c>
    </row>
    <row r="8" spans="1:5" x14ac:dyDescent="0.2">
      <c r="A8" s="11">
        <v>315</v>
      </c>
      <c r="B8" s="12" t="s">
        <v>8</v>
      </c>
      <c r="C8" s="13">
        <v>47</v>
      </c>
      <c r="D8" s="16">
        <v>0</v>
      </c>
      <c r="E8" s="10">
        <f t="shared" si="0"/>
        <v>1</v>
      </c>
    </row>
    <row r="9" spans="1:5" x14ac:dyDescent="0.2">
      <c r="A9" s="11">
        <v>317</v>
      </c>
      <c r="B9" s="12" t="s">
        <v>8</v>
      </c>
      <c r="C9" s="13">
        <v>57</v>
      </c>
      <c r="D9" s="16">
        <v>56</v>
      </c>
      <c r="E9" s="10">
        <f t="shared" si="0"/>
        <v>1.7543859649122862E-2</v>
      </c>
    </row>
    <row r="10" spans="1:5" x14ac:dyDescent="0.2">
      <c r="A10" s="11">
        <v>318</v>
      </c>
      <c r="B10" s="12" t="s">
        <v>8</v>
      </c>
      <c r="C10" s="13">
        <v>44</v>
      </c>
      <c r="D10" s="16">
        <v>0</v>
      </c>
      <c r="E10" s="10">
        <f t="shared" si="0"/>
        <v>1</v>
      </c>
    </row>
    <row r="11" spans="1:5" x14ac:dyDescent="0.2">
      <c r="A11" s="11">
        <v>319</v>
      </c>
      <c r="B11" s="12" t="s">
        <v>8</v>
      </c>
      <c r="C11" s="13">
        <v>39</v>
      </c>
      <c r="D11" s="16">
        <v>39</v>
      </c>
      <c r="E11" s="10">
        <f t="shared" si="0"/>
        <v>0</v>
      </c>
    </row>
    <row r="12" spans="1:5" x14ac:dyDescent="0.2">
      <c r="A12" s="11">
        <v>320</v>
      </c>
      <c r="B12" s="12" t="s">
        <v>8</v>
      </c>
      <c r="C12" s="13">
        <v>48</v>
      </c>
      <c r="D12" s="16">
        <v>41</v>
      </c>
      <c r="E12" s="10">
        <f t="shared" si="0"/>
        <v>0.14583333333333337</v>
      </c>
    </row>
    <row r="13" spans="1:5" x14ac:dyDescent="0.2">
      <c r="A13" s="11">
        <v>321</v>
      </c>
      <c r="B13" s="12" t="s">
        <v>8</v>
      </c>
      <c r="C13" s="13">
        <v>46</v>
      </c>
      <c r="D13" s="16">
        <v>0</v>
      </c>
      <c r="E13" s="10">
        <f t="shared" si="0"/>
        <v>1</v>
      </c>
    </row>
    <row r="14" spans="1:5" x14ac:dyDescent="0.2">
      <c r="A14" s="11">
        <v>322</v>
      </c>
      <c r="B14" s="12" t="s">
        <v>23</v>
      </c>
      <c r="C14" s="13">
        <v>51</v>
      </c>
      <c r="D14" s="16">
        <v>0</v>
      </c>
      <c r="E14" s="10">
        <f t="shared" si="0"/>
        <v>1</v>
      </c>
    </row>
    <row r="15" spans="1:5" x14ac:dyDescent="0.2">
      <c r="A15" s="11">
        <v>323</v>
      </c>
      <c r="B15" s="12" t="s">
        <v>8</v>
      </c>
      <c r="C15" s="13">
        <v>48</v>
      </c>
      <c r="D15" s="16">
        <v>0</v>
      </c>
      <c r="E15" s="10">
        <f t="shared" si="0"/>
        <v>1</v>
      </c>
    </row>
    <row r="16" spans="1:5" x14ac:dyDescent="0.2">
      <c r="A16" s="11">
        <v>324</v>
      </c>
      <c r="B16" s="12" t="s">
        <v>8</v>
      </c>
      <c r="C16" s="13">
        <v>45</v>
      </c>
      <c r="D16" s="16">
        <v>44</v>
      </c>
      <c r="E16" s="10">
        <f t="shared" si="0"/>
        <v>2.2222222222222254E-2</v>
      </c>
    </row>
    <row r="17" spans="1:5" x14ac:dyDescent="0.2">
      <c r="A17" s="11">
        <v>325</v>
      </c>
      <c r="B17" s="12" t="s">
        <v>8</v>
      </c>
      <c r="C17" s="13">
        <v>49</v>
      </c>
      <c r="D17" s="16">
        <v>4</v>
      </c>
      <c r="E17" s="10">
        <f t="shared" si="0"/>
        <v>0.91836734693877553</v>
      </c>
    </row>
    <row r="18" spans="1:5" x14ac:dyDescent="0.2">
      <c r="A18" s="11">
        <v>326</v>
      </c>
      <c r="B18" s="12" t="s">
        <v>8</v>
      </c>
      <c r="C18" s="13">
        <v>48</v>
      </c>
      <c r="D18" s="16">
        <v>0</v>
      </c>
      <c r="E18" s="10">
        <f t="shared" si="0"/>
        <v>1</v>
      </c>
    </row>
    <row r="19" spans="1:5" x14ac:dyDescent="0.2">
      <c r="A19" s="11">
        <v>327</v>
      </c>
      <c r="B19" s="12" t="s">
        <v>8</v>
      </c>
      <c r="C19" s="13">
        <v>44</v>
      </c>
      <c r="D19" s="16">
        <v>0</v>
      </c>
      <c r="E19" s="10">
        <f t="shared" si="0"/>
        <v>1</v>
      </c>
    </row>
    <row r="20" spans="1:5" x14ac:dyDescent="0.2">
      <c r="A20" s="11">
        <v>328</v>
      </c>
      <c r="B20" s="12" t="s">
        <v>8</v>
      </c>
      <c r="C20" s="13">
        <v>50</v>
      </c>
      <c r="D20" s="16">
        <v>0</v>
      </c>
      <c r="E20" s="10">
        <f t="shared" si="0"/>
        <v>1</v>
      </c>
    </row>
    <row r="21" spans="1:5" x14ac:dyDescent="0.2">
      <c r="A21" s="11">
        <v>330</v>
      </c>
      <c r="B21" s="12" t="s">
        <v>8</v>
      </c>
      <c r="C21" s="13">
        <v>54</v>
      </c>
      <c r="D21" s="16">
        <v>25</v>
      </c>
      <c r="E21" s="10">
        <f t="shared" si="0"/>
        <v>0.53703703703703698</v>
      </c>
    </row>
    <row r="22" spans="1:5" x14ac:dyDescent="0.2">
      <c r="A22" s="7" t="s">
        <v>6</v>
      </c>
      <c r="B22" s="10"/>
      <c r="C22" s="6">
        <f>AVERAGE(C2:C21)</f>
        <v>47.75</v>
      </c>
      <c r="D22" s="10"/>
      <c r="E22" s="6">
        <f>AVERAGE(E2:E21)</f>
        <v>0.73922064319394554</v>
      </c>
    </row>
    <row r="25" spans="1:5" x14ac:dyDescent="0.2">
      <c r="A25" s="41" t="s">
        <v>16</v>
      </c>
    </row>
    <row r="26" spans="1:5" x14ac:dyDescent="0.2">
      <c r="A26" s="8" t="s">
        <v>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371E-3899-4BBA-AF3F-B8AD11F72E79}">
  <dimension ref="A1:E28"/>
  <sheetViews>
    <sheetView workbookViewId="0">
      <selection activeCell="A28" sqref="A28"/>
    </sheetView>
  </sheetViews>
  <sheetFormatPr defaultRowHeight="14.25" x14ac:dyDescent="0.2"/>
  <cols>
    <col min="1" max="1" width="19.875" style="14" customWidth="1"/>
    <col min="2" max="2" width="27.375" style="14" customWidth="1"/>
    <col min="3" max="3" width="23.125" style="14" customWidth="1"/>
    <col min="4" max="4" width="27.125" style="14" customWidth="1"/>
    <col min="5" max="5" width="38.875" style="14" customWidth="1"/>
    <col min="6" max="16384" width="9" style="14"/>
  </cols>
  <sheetData>
    <row r="1" spans="1:5" ht="15" x14ac:dyDescent="0.2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</row>
    <row r="2" spans="1:5" x14ac:dyDescent="0.2">
      <c r="A2" s="18">
        <v>272</v>
      </c>
      <c r="B2" s="19" t="s">
        <v>9</v>
      </c>
      <c r="C2" s="20">
        <v>54</v>
      </c>
      <c r="D2" s="21">
        <v>54</v>
      </c>
      <c r="E2" s="16">
        <f>1-D2/C2</f>
        <v>0</v>
      </c>
    </row>
    <row r="3" spans="1:5" x14ac:dyDescent="0.2">
      <c r="A3" s="18">
        <v>273</v>
      </c>
      <c r="B3" s="19" t="s">
        <v>9</v>
      </c>
      <c r="C3" s="20">
        <v>42</v>
      </c>
      <c r="D3" s="21">
        <v>41</v>
      </c>
      <c r="E3" s="16">
        <f t="shared" ref="E3:E23" si="0">1-D3/C3</f>
        <v>2.3809523809523836E-2</v>
      </c>
    </row>
    <row r="4" spans="1:5" x14ac:dyDescent="0.2">
      <c r="A4" s="18">
        <v>274</v>
      </c>
      <c r="B4" s="19" t="s">
        <v>9</v>
      </c>
      <c r="C4" s="20">
        <v>50</v>
      </c>
      <c r="D4" s="21">
        <v>23</v>
      </c>
      <c r="E4" s="16">
        <f t="shared" si="0"/>
        <v>0.54</v>
      </c>
    </row>
    <row r="5" spans="1:5" x14ac:dyDescent="0.2">
      <c r="A5" s="18">
        <v>275</v>
      </c>
      <c r="B5" s="19" t="s">
        <v>9</v>
      </c>
      <c r="C5" s="20">
        <v>54</v>
      </c>
      <c r="D5" s="21">
        <v>0</v>
      </c>
      <c r="E5" s="16">
        <f t="shared" si="0"/>
        <v>1</v>
      </c>
    </row>
    <row r="6" spans="1:5" x14ac:dyDescent="0.2">
      <c r="A6" s="18">
        <v>276</v>
      </c>
      <c r="B6" s="19" t="s">
        <v>9</v>
      </c>
      <c r="C6" s="20">
        <v>67</v>
      </c>
      <c r="D6" s="21">
        <v>37</v>
      </c>
      <c r="E6" s="16">
        <f t="shared" si="0"/>
        <v>0.44776119402985071</v>
      </c>
    </row>
    <row r="7" spans="1:5" x14ac:dyDescent="0.2">
      <c r="A7" s="18">
        <v>277</v>
      </c>
      <c r="B7" s="19" t="s">
        <v>9</v>
      </c>
      <c r="C7" s="20">
        <v>54</v>
      </c>
      <c r="D7" s="21">
        <v>21</v>
      </c>
      <c r="E7" s="16">
        <f t="shared" si="0"/>
        <v>0.61111111111111116</v>
      </c>
    </row>
    <row r="8" spans="1:5" x14ac:dyDescent="0.2">
      <c r="A8" s="18">
        <v>278</v>
      </c>
      <c r="B8" s="19" t="s">
        <v>9</v>
      </c>
      <c r="C8" s="20">
        <v>61</v>
      </c>
      <c r="D8" s="21">
        <v>0</v>
      </c>
      <c r="E8" s="16">
        <f t="shared" si="0"/>
        <v>1</v>
      </c>
    </row>
    <row r="9" spans="1:5" x14ac:dyDescent="0.2">
      <c r="A9" s="18">
        <v>279</v>
      </c>
      <c r="B9" s="19" t="s">
        <v>9</v>
      </c>
      <c r="C9" s="20">
        <v>68</v>
      </c>
      <c r="D9" s="21">
        <v>23</v>
      </c>
      <c r="E9" s="16">
        <f t="shared" si="0"/>
        <v>0.66176470588235292</v>
      </c>
    </row>
    <row r="10" spans="1:5" x14ac:dyDescent="0.2">
      <c r="A10" s="18">
        <v>280</v>
      </c>
      <c r="B10" s="19" t="s">
        <v>9</v>
      </c>
      <c r="C10" s="20">
        <v>57</v>
      </c>
      <c r="D10" s="21">
        <v>7</v>
      </c>
      <c r="E10" s="16">
        <f t="shared" si="0"/>
        <v>0.87719298245614041</v>
      </c>
    </row>
    <row r="11" spans="1:5" x14ac:dyDescent="0.2">
      <c r="A11" s="18">
        <v>281</v>
      </c>
      <c r="B11" s="19" t="s">
        <v>9</v>
      </c>
      <c r="C11" s="20">
        <v>52</v>
      </c>
      <c r="D11" s="21">
        <v>34</v>
      </c>
      <c r="E11" s="16">
        <f t="shared" si="0"/>
        <v>0.34615384615384615</v>
      </c>
    </row>
    <row r="12" spans="1:5" x14ac:dyDescent="0.2">
      <c r="A12" s="18">
        <v>282</v>
      </c>
      <c r="B12" s="19" t="s">
        <v>9</v>
      </c>
      <c r="C12" s="20">
        <v>58</v>
      </c>
      <c r="D12" s="21">
        <v>30</v>
      </c>
      <c r="E12" s="16">
        <f t="shared" si="0"/>
        <v>0.48275862068965514</v>
      </c>
    </row>
    <row r="13" spans="1:5" x14ac:dyDescent="0.2">
      <c r="A13" s="18">
        <v>283</v>
      </c>
      <c r="B13" s="19" t="s">
        <v>9</v>
      </c>
      <c r="C13" s="20">
        <v>49</v>
      </c>
      <c r="D13" s="21">
        <v>48</v>
      </c>
      <c r="E13" s="16">
        <f t="shared" si="0"/>
        <v>2.0408163265306145E-2</v>
      </c>
    </row>
    <row r="14" spans="1:5" x14ac:dyDescent="0.2">
      <c r="A14" s="18">
        <v>284</v>
      </c>
      <c r="B14" s="19" t="s">
        <v>9</v>
      </c>
      <c r="C14" s="20">
        <v>43</v>
      </c>
      <c r="D14" s="21">
        <v>0</v>
      </c>
      <c r="E14" s="16">
        <f t="shared" si="0"/>
        <v>1</v>
      </c>
    </row>
    <row r="15" spans="1:5" x14ac:dyDescent="0.2">
      <c r="A15" s="18">
        <v>285</v>
      </c>
      <c r="B15" s="19" t="s">
        <v>9</v>
      </c>
      <c r="C15" s="20">
        <v>48</v>
      </c>
      <c r="D15" s="21">
        <v>0</v>
      </c>
      <c r="E15" s="16">
        <f t="shared" si="0"/>
        <v>1</v>
      </c>
    </row>
    <row r="16" spans="1:5" x14ac:dyDescent="0.2">
      <c r="A16" s="18">
        <v>286</v>
      </c>
      <c r="B16" s="19" t="s">
        <v>9</v>
      </c>
      <c r="C16" s="20">
        <v>45</v>
      </c>
      <c r="D16" s="21">
        <v>20</v>
      </c>
      <c r="E16" s="16">
        <f t="shared" si="0"/>
        <v>0.55555555555555558</v>
      </c>
    </row>
    <row r="17" spans="1:5" x14ac:dyDescent="0.2">
      <c r="A17" s="18">
        <v>287</v>
      </c>
      <c r="B17" s="19" t="s">
        <v>9</v>
      </c>
      <c r="C17" s="20">
        <v>44</v>
      </c>
      <c r="D17" s="21">
        <v>0</v>
      </c>
      <c r="E17" s="16">
        <f t="shared" si="0"/>
        <v>1</v>
      </c>
    </row>
    <row r="18" spans="1:5" x14ac:dyDescent="0.2">
      <c r="A18" s="18">
        <v>288</v>
      </c>
      <c r="B18" s="19" t="s">
        <v>9</v>
      </c>
      <c r="C18" s="20">
        <v>68</v>
      </c>
      <c r="D18" s="21">
        <v>28</v>
      </c>
      <c r="E18" s="16">
        <f t="shared" si="0"/>
        <v>0.58823529411764708</v>
      </c>
    </row>
    <row r="19" spans="1:5" x14ac:dyDescent="0.2">
      <c r="A19" s="18">
        <v>289</v>
      </c>
      <c r="B19" s="19" t="s">
        <v>9</v>
      </c>
      <c r="C19" s="20">
        <v>85</v>
      </c>
      <c r="D19" s="21">
        <v>0</v>
      </c>
      <c r="E19" s="16">
        <f t="shared" si="0"/>
        <v>1</v>
      </c>
    </row>
    <row r="20" spans="1:5" x14ac:dyDescent="0.2">
      <c r="A20" s="18">
        <v>290</v>
      </c>
      <c r="B20" s="19" t="s">
        <v>9</v>
      </c>
      <c r="C20" s="20">
        <v>64</v>
      </c>
      <c r="D20" s="21">
        <v>0</v>
      </c>
      <c r="E20" s="16">
        <f t="shared" si="0"/>
        <v>1</v>
      </c>
    </row>
    <row r="21" spans="1:5" x14ac:dyDescent="0.2">
      <c r="A21" s="18">
        <v>291</v>
      </c>
      <c r="B21" s="19" t="s">
        <v>9</v>
      </c>
      <c r="C21" s="20">
        <v>50</v>
      </c>
      <c r="D21" s="21">
        <v>24</v>
      </c>
      <c r="E21" s="16">
        <f t="shared" si="0"/>
        <v>0.52</v>
      </c>
    </row>
    <row r="22" spans="1:5" x14ac:dyDescent="0.2">
      <c r="A22" s="18">
        <v>292</v>
      </c>
      <c r="B22" s="19" t="s">
        <v>9</v>
      </c>
      <c r="C22" s="20">
        <v>49</v>
      </c>
      <c r="D22" s="21">
        <v>1</v>
      </c>
      <c r="E22" s="16">
        <f t="shared" si="0"/>
        <v>0.97959183673469385</v>
      </c>
    </row>
    <row r="23" spans="1:5" x14ac:dyDescent="0.2">
      <c r="A23" s="18">
        <v>293</v>
      </c>
      <c r="B23" s="19" t="s">
        <v>24</v>
      </c>
      <c r="C23" s="20">
        <v>55</v>
      </c>
      <c r="D23" s="21">
        <v>0</v>
      </c>
      <c r="E23" s="16">
        <f t="shared" si="0"/>
        <v>1</v>
      </c>
    </row>
    <row r="24" spans="1:5" x14ac:dyDescent="0.2">
      <c r="A24" s="7" t="s">
        <v>6</v>
      </c>
      <c r="B24" s="16"/>
      <c r="C24" s="6">
        <f>AVERAGE(C2:C23)</f>
        <v>55.31818181818182</v>
      </c>
      <c r="D24" s="16"/>
      <c r="E24" s="6">
        <f>AVERAGE(E2:E23)</f>
        <v>0.66610649244571274</v>
      </c>
    </row>
    <row r="27" spans="1:5" x14ac:dyDescent="0.2">
      <c r="A27" s="41" t="s">
        <v>15</v>
      </c>
    </row>
    <row r="28" spans="1:5" x14ac:dyDescent="0.2">
      <c r="A28" s="14" t="s">
        <v>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3A59-984F-4D59-98D9-2C7BB293EE7F}">
  <dimension ref="A1:E22"/>
  <sheetViews>
    <sheetView workbookViewId="0">
      <selection activeCell="A22" sqref="A22"/>
    </sheetView>
  </sheetViews>
  <sheetFormatPr defaultRowHeight="14.25" x14ac:dyDescent="0.2"/>
  <cols>
    <col min="1" max="1" width="22.25" style="14" customWidth="1"/>
    <col min="2" max="2" width="27.375" style="14" customWidth="1"/>
    <col min="3" max="3" width="23.125" style="14" customWidth="1"/>
    <col min="4" max="4" width="27.125" style="14" customWidth="1"/>
    <col min="5" max="5" width="38.875" style="14" customWidth="1"/>
    <col min="6" max="16384" width="9" style="14"/>
  </cols>
  <sheetData>
    <row r="1" spans="1:5" ht="15" x14ac:dyDescent="0.2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</row>
    <row r="2" spans="1:5" x14ac:dyDescent="0.2">
      <c r="A2" s="22">
        <v>255</v>
      </c>
      <c r="B2" s="23" t="s">
        <v>10</v>
      </c>
      <c r="C2" s="24">
        <v>52</v>
      </c>
      <c r="D2" s="25">
        <v>48</v>
      </c>
      <c r="E2" s="16">
        <f>1-D2/C2</f>
        <v>7.6923076923076872E-2</v>
      </c>
    </row>
    <row r="3" spans="1:5" x14ac:dyDescent="0.2">
      <c r="A3" s="22">
        <v>256</v>
      </c>
      <c r="B3" s="23" t="s">
        <v>10</v>
      </c>
      <c r="C3" s="24">
        <v>59</v>
      </c>
      <c r="D3" s="25">
        <v>18</v>
      </c>
      <c r="E3" s="16">
        <f t="shared" ref="E3:E17" si="0">1-D3/C3</f>
        <v>0.69491525423728806</v>
      </c>
    </row>
    <row r="4" spans="1:5" x14ac:dyDescent="0.2">
      <c r="A4" s="22">
        <v>258</v>
      </c>
      <c r="B4" s="23" t="s">
        <v>10</v>
      </c>
      <c r="C4" s="24">
        <v>59</v>
      </c>
      <c r="D4" s="25">
        <v>59</v>
      </c>
      <c r="E4" s="16">
        <f t="shared" si="0"/>
        <v>0</v>
      </c>
    </row>
    <row r="5" spans="1:5" x14ac:dyDescent="0.2">
      <c r="A5" s="22">
        <v>259</v>
      </c>
      <c r="B5" s="23" t="s">
        <v>10</v>
      </c>
      <c r="C5" s="24">
        <v>46</v>
      </c>
      <c r="D5" s="25">
        <v>0</v>
      </c>
      <c r="E5" s="16">
        <f t="shared" si="0"/>
        <v>1</v>
      </c>
    </row>
    <row r="6" spans="1:5" x14ac:dyDescent="0.2">
      <c r="A6" s="22">
        <v>260</v>
      </c>
      <c r="B6" s="23" t="s">
        <v>10</v>
      </c>
      <c r="C6" s="24">
        <v>56</v>
      </c>
      <c r="D6" s="25">
        <v>56</v>
      </c>
      <c r="E6" s="16">
        <f t="shared" si="0"/>
        <v>0</v>
      </c>
    </row>
    <row r="7" spans="1:5" x14ac:dyDescent="0.2">
      <c r="A7" s="22">
        <v>261</v>
      </c>
      <c r="B7" s="23" t="s">
        <v>10</v>
      </c>
      <c r="C7" s="24">
        <v>59</v>
      </c>
      <c r="D7" s="25">
        <v>59</v>
      </c>
      <c r="E7" s="16">
        <f t="shared" si="0"/>
        <v>0</v>
      </c>
    </row>
    <row r="8" spans="1:5" x14ac:dyDescent="0.2">
      <c r="A8" s="22">
        <v>262</v>
      </c>
      <c r="B8" s="23" t="s">
        <v>10</v>
      </c>
      <c r="C8" s="24">
        <v>49</v>
      </c>
      <c r="D8" s="25">
        <v>20</v>
      </c>
      <c r="E8" s="16">
        <f t="shared" si="0"/>
        <v>0.59183673469387754</v>
      </c>
    </row>
    <row r="9" spans="1:5" x14ac:dyDescent="0.2">
      <c r="A9" s="22">
        <v>263</v>
      </c>
      <c r="B9" s="23" t="s">
        <v>10</v>
      </c>
      <c r="C9" s="24">
        <v>37</v>
      </c>
      <c r="D9" s="25">
        <v>18</v>
      </c>
      <c r="E9" s="16">
        <f t="shared" si="0"/>
        <v>0.51351351351351349</v>
      </c>
    </row>
    <row r="10" spans="1:5" x14ac:dyDescent="0.2">
      <c r="A10" s="22">
        <v>264</v>
      </c>
      <c r="B10" s="23" t="s">
        <v>10</v>
      </c>
      <c r="C10" s="24">
        <v>41</v>
      </c>
      <c r="D10" s="25">
        <v>37</v>
      </c>
      <c r="E10" s="16">
        <f t="shared" si="0"/>
        <v>9.7560975609756073E-2</v>
      </c>
    </row>
    <row r="11" spans="1:5" x14ac:dyDescent="0.2">
      <c r="A11" s="22">
        <v>265</v>
      </c>
      <c r="B11" s="23" t="s">
        <v>10</v>
      </c>
      <c r="C11" s="24">
        <v>39</v>
      </c>
      <c r="D11" s="25">
        <v>0</v>
      </c>
      <c r="E11" s="16">
        <f t="shared" si="0"/>
        <v>1</v>
      </c>
    </row>
    <row r="12" spans="1:5" x14ac:dyDescent="0.2">
      <c r="A12" s="22">
        <v>266</v>
      </c>
      <c r="B12" s="23" t="s">
        <v>10</v>
      </c>
      <c r="C12" s="24">
        <v>60</v>
      </c>
      <c r="D12" s="25">
        <v>54</v>
      </c>
      <c r="E12" s="16">
        <f t="shared" si="0"/>
        <v>9.9999999999999978E-2</v>
      </c>
    </row>
    <row r="13" spans="1:5" x14ac:dyDescent="0.2">
      <c r="A13" s="22">
        <v>267</v>
      </c>
      <c r="B13" s="23" t="s">
        <v>10</v>
      </c>
      <c r="C13" s="24">
        <v>54</v>
      </c>
      <c r="D13" s="25">
        <v>31</v>
      </c>
      <c r="E13" s="16">
        <f t="shared" si="0"/>
        <v>0.42592592592592593</v>
      </c>
    </row>
    <row r="14" spans="1:5" x14ac:dyDescent="0.2">
      <c r="A14" s="22">
        <v>268</v>
      </c>
      <c r="B14" s="23" t="s">
        <v>10</v>
      </c>
      <c r="C14" s="24">
        <v>57</v>
      </c>
      <c r="D14" s="25">
        <v>46</v>
      </c>
      <c r="E14" s="16">
        <f t="shared" si="0"/>
        <v>0.19298245614035092</v>
      </c>
    </row>
    <row r="15" spans="1:5" x14ac:dyDescent="0.2">
      <c r="A15" s="22">
        <v>269</v>
      </c>
      <c r="B15" s="23" t="s">
        <v>10</v>
      </c>
      <c r="C15" s="24">
        <v>65</v>
      </c>
      <c r="D15" s="25">
        <v>54</v>
      </c>
      <c r="E15" s="16">
        <f t="shared" si="0"/>
        <v>0.16923076923076918</v>
      </c>
    </row>
    <row r="16" spans="1:5" x14ac:dyDescent="0.2">
      <c r="A16" s="22">
        <v>270</v>
      </c>
      <c r="B16" s="23" t="s">
        <v>10</v>
      </c>
      <c r="C16" s="24">
        <v>58</v>
      </c>
      <c r="D16" s="25">
        <v>58</v>
      </c>
      <c r="E16" s="16">
        <f t="shared" si="0"/>
        <v>0</v>
      </c>
    </row>
    <row r="17" spans="1:5" x14ac:dyDescent="0.2">
      <c r="A17" s="22">
        <v>271</v>
      </c>
      <c r="B17" s="23" t="s">
        <v>25</v>
      </c>
      <c r="C17" s="24">
        <v>45</v>
      </c>
      <c r="D17" s="25">
        <v>45</v>
      </c>
      <c r="E17" s="16">
        <f t="shared" si="0"/>
        <v>0</v>
      </c>
    </row>
    <row r="18" spans="1:5" x14ac:dyDescent="0.2">
      <c r="A18" s="7" t="s">
        <v>6</v>
      </c>
      <c r="B18" s="16"/>
      <c r="C18" s="6">
        <f>AVERAGE(C2:C17)</f>
        <v>52.25</v>
      </c>
      <c r="D18" s="16"/>
      <c r="E18" s="6">
        <f>AVERAGE(E2:E17)</f>
        <v>0.30393054414215992</v>
      </c>
    </row>
    <row r="21" spans="1:5" x14ac:dyDescent="0.2">
      <c r="A21" s="14" t="s">
        <v>17</v>
      </c>
    </row>
    <row r="22" spans="1:5" x14ac:dyDescent="0.2">
      <c r="A22" s="14" t="s">
        <v>32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343E-74DC-4335-9517-43E3D9F11C57}">
  <dimension ref="A1:E24"/>
  <sheetViews>
    <sheetView workbookViewId="0">
      <selection activeCell="B29" sqref="B29"/>
    </sheetView>
  </sheetViews>
  <sheetFormatPr defaultRowHeight="14.25" x14ac:dyDescent="0.2"/>
  <cols>
    <col min="1" max="1" width="19.125" style="14" customWidth="1"/>
    <col min="2" max="2" width="27.375" style="14" customWidth="1"/>
    <col min="3" max="3" width="23.125" style="14" customWidth="1"/>
    <col min="4" max="4" width="27.125" style="14" customWidth="1"/>
    <col min="5" max="5" width="38.875" style="14" customWidth="1"/>
    <col min="6" max="16384" width="9" style="14"/>
  </cols>
  <sheetData>
    <row r="1" spans="1:5" ht="15" x14ac:dyDescent="0.2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</row>
    <row r="2" spans="1:5" x14ac:dyDescent="0.2">
      <c r="A2" s="26">
        <v>237</v>
      </c>
      <c r="B2" s="27" t="s">
        <v>11</v>
      </c>
      <c r="C2" s="28">
        <v>62</v>
      </c>
      <c r="D2" s="29">
        <v>0</v>
      </c>
      <c r="E2" s="16">
        <f>1-D2/C2</f>
        <v>1</v>
      </c>
    </row>
    <row r="3" spans="1:5" x14ac:dyDescent="0.2">
      <c r="A3" s="26">
        <v>238</v>
      </c>
      <c r="B3" s="27" t="s">
        <v>11</v>
      </c>
      <c r="C3" s="28">
        <v>66</v>
      </c>
      <c r="D3" s="29">
        <v>66</v>
      </c>
      <c r="E3" s="16">
        <f t="shared" ref="E3:E19" si="0">1-D3/C3</f>
        <v>0</v>
      </c>
    </row>
    <row r="4" spans="1:5" x14ac:dyDescent="0.2">
      <c r="A4" s="26">
        <v>239</v>
      </c>
      <c r="B4" s="27" t="s">
        <v>11</v>
      </c>
      <c r="C4" s="28">
        <v>53</v>
      </c>
      <c r="D4" s="29">
        <v>23</v>
      </c>
      <c r="E4" s="16">
        <f t="shared" si="0"/>
        <v>0.56603773584905659</v>
      </c>
    </row>
    <row r="5" spans="1:5" x14ac:dyDescent="0.2">
      <c r="A5" s="26">
        <v>240</v>
      </c>
      <c r="B5" s="27" t="s">
        <v>11</v>
      </c>
      <c r="C5" s="28">
        <v>69</v>
      </c>
      <c r="D5" s="29">
        <v>0</v>
      </c>
      <c r="E5" s="16">
        <f t="shared" si="0"/>
        <v>1</v>
      </c>
    </row>
    <row r="6" spans="1:5" x14ac:dyDescent="0.2">
      <c r="A6" s="26">
        <v>241</v>
      </c>
      <c r="B6" s="27" t="s">
        <v>11</v>
      </c>
      <c r="C6" s="28">
        <v>46</v>
      </c>
      <c r="D6" s="29">
        <v>0</v>
      </c>
      <c r="E6" s="16">
        <f t="shared" si="0"/>
        <v>1</v>
      </c>
    </row>
    <row r="7" spans="1:5" x14ac:dyDescent="0.2">
      <c r="A7" s="26">
        <v>242</v>
      </c>
      <c r="B7" s="27" t="s">
        <v>11</v>
      </c>
      <c r="C7" s="28">
        <v>38</v>
      </c>
      <c r="D7" s="29">
        <v>0</v>
      </c>
      <c r="E7" s="16">
        <f t="shared" si="0"/>
        <v>1</v>
      </c>
    </row>
    <row r="8" spans="1:5" x14ac:dyDescent="0.2">
      <c r="A8" s="26">
        <v>243</v>
      </c>
      <c r="B8" s="27" t="s">
        <v>11</v>
      </c>
      <c r="C8" s="28">
        <v>86</v>
      </c>
      <c r="D8" s="29">
        <v>24</v>
      </c>
      <c r="E8" s="16">
        <f t="shared" si="0"/>
        <v>0.72093023255813948</v>
      </c>
    </row>
    <row r="9" spans="1:5" x14ac:dyDescent="0.2">
      <c r="A9" s="26">
        <v>244</v>
      </c>
      <c r="B9" s="27" t="s">
        <v>11</v>
      </c>
      <c r="C9" s="28">
        <v>65</v>
      </c>
      <c r="D9" s="29">
        <v>31</v>
      </c>
      <c r="E9" s="16">
        <f t="shared" si="0"/>
        <v>0.52307692307692299</v>
      </c>
    </row>
    <row r="10" spans="1:5" x14ac:dyDescent="0.2">
      <c r="A10" s="26">
        <v>245</v>
      </c>
      <c r="B10" s="27" t="s">
        <v>11</v>
      </c>
      <c r="C10" s="28">
        <v>53</v>
      </c>
      <c r="D10" s="29">
        <v>39</v>
      </c>
      <c r="E10" s="16">
        <f t="shared" si="0"/>
        <v>0.26415094339622647</v>
      </c>
    </row>
    <row r="11" spans="1:5" x14ac:dyDescent="0.2">
      <c r="A11" s="26">
        <v>246</v>
      </c>
      <c r="B11" s="27" t="s">
        <v>11</v>
      </c>
      <c r="C11" s="28">
        <v>69</v>
      </c>
      <c r="D11" s="29">
        <v>68</v>
      </c>
      <c r="E11" s="16">
        <f t="shared" si="0"/>
        <v>1.4492753623188359E-2</v>
      </c>
    </row>
    <row r="12" spans="1:5" x14ac:dyDescent="0.2">
      <c r="A12" s="26">
        <v>247</v>
      </c>
      <c r="B12" s="27" t="s">
        <v>11</v>
      </c>
      <c r="C12" s="28">
        <v>63</v>
      </c>
      <c r="D12" s="29">
        <v>63</v>
      </c>
      <c r="E12" s="16">
        <f t="shared" si="0"/>
        <v>0</v>
      </c>
    </row>
    <row r="13" spans="1:5" x14ac:dyDescent="0.2">
      <c r="A13" s="26">
        <v>248</v>
      </c>
      <c r="B13" s="27" t="s">
        <v>11</v>
      </c>
      <c r="C13" s="28">
        <v>44</v>
      </c>
      <c r="D13" s="29">
        <v>31</v>
      </c>
      <c r="E13" s="16">
        <f t="shared" si="0"/>
        <v>0.29545454545454541</v>
      </c>
    </row>
    <row r="14" spans="1:5" x14ac:dyDescent="0.2">
      <c r="A14" s="26">
        <v>249</v>
      </c>
      <c r="B14" s="27" t="s">
        <v>11</v>
      </c>
      <c r="C14" s="28">
        <v>40</v>
      </c>
      <c r="D14" s="29">
        <v>23</v>
      </c>
      <c r="E14" s="16">
        <f t="shared" si="0"/>
        <v>0.42500000000000004</v>
      </c>
    </row>
    <row r="15" spans="1:5" x14ac:dyDescent="0.2">
      <c r="A15" s="26">
        <v>250</v>
      </c>
      <c r="B15" s="27" t="s">
        <v>11</v>
      </c>
      <c r="C15" s="28">
        <v>38</v>
      </c>
      <c r="D15" s="29">
        <v>29</v>
      </c>
      <c r="E15" s="16">
        <f t="shared" si="0"/>
        <v>0.23684210526315785</v>
      </c>
    </row>
    <row r="16" spans="1:5" x14ac:dyDescent="0.2">
      <c r="A16" s="26">
        <v>251</v>
      </c>
      <c r="B16" s="27" t="s">
        <v>11</v>
      </c>
      <c r="C16" s="28">
        <v>49</v>
      </c>
      <c r="D16" s="29">
        <v>13</v>
      </c>
      <c r="E16" s="16">
        <f t="shared" si="0"/>
        <v>0.73469387755102034</v>
      </c>
    </row>
    <row r="17" spans="1:5" x14ac:dyDescent="0.2">
      <c r="A17" s="26">
        <v>252</v>
      </c>
      <c r="B17" s="27" t="s">
        <v>11</v>
      </c>
      <c r="C17" s="28">
        <v>45</v>
      </c>
      <c r="D17" s="29">
        <v>24</v>
      </c>
      <c r="E17" s="16">
        <f t="shared" si="0"/>
        <v>0.46666666666666667</v>
      </c>
    </row>
    <row r="18" spans="1:5" x14ac:dyDescent="0.2">
      <c r="A18" s="26">
        <v>253</v>
      </c>
      <c r="B18" s="27" t="s">
        <v>11</v>
      </c>
      <c r="C18" s="28">
        <v>43</v>
      </c>
      <c r="D18" s="29">
        <v>24</v>
      </c>
      <c r="E18" s="16">
        <f t="shared" si="0"/>
        <v>0.44186046511627908</v>
      </c>
    </row>
    <row r="19" spans="1:5" x14ac:dyDescent="0.2">
      <c r="A19" s="26">
        <v>254</v>
      </c>
      <c r="B19" s="27" t="s">
        <v>26</v>
      </c>
      <c r="C19" s="28">
        <v>50</v>
      </c>
      <c r="D19" s="29">
        <v>0</v>
      </c>
      <c r="E19" s="16">
        <f t="shared" si="0"/>
        <v>1</v>
      </c>
    </row>
    <row r="20" spans="1:5" x14ac:dyDescent="0.2">
      <c r="A20" s="7" t="s">
        <v>6</v>
      </c>
      <c r="B20" s="16"/>
      <c r="C20" s="6">
        <f>AVERAGE(C2:C19)</f>
        <v>54.388888888888886</v>
      </c>
      <c r="D20" s="16"/>
      <c r="E20" s="6">
        <f>AVERAGE(E2:E19)</f>
        <v>0.53828923603084455</v>
      </c>
    </row>
    <row r="23" spans="1:5" x14ac:dyDescent="0.2">
      <c r="A23" s="14" t="s">
        <v>18</v>
      </c>
    </row>
    <row r="24" spans="1:5" x14ac:dyDescent="0.2">
      <c r="A24" s="14" t="s">
        <v>32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8A1B-3603-4848-8237-8F68A8487A54}">
  <dimension ref="A1:E27"/>
  <sheetViews>
    <sheetView workbookViewId="0">
      <selection activeCell="A27" sqref="A27"/>
    </sheetView>
  </sheetViews>
  <sheetFormatPr defaultRowHeight="14.25" x14ac:dyDescent="0.2"/>
  <cols>
    <col min="1" max="1" width="20" style="14" customWidth="1"/>
    <col min="2" max="2" width="27.375" style="14" customWidth="1"/>
    <col min="3" max="3" width="23.125" style="14" customWidth="1"/>
    <col min="4" max="4" width="27.125" style="14" customWidth="1"/>
    <col min="5" max="5" width="38.875" style="14" customWidth="1"/>
    <col min="6" max="16384" width="9" style="14"/>
  </cols>
  <sheetData>
    <row r="1" spans="1:5" ht="15" x14ac:dyDescent="0.2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</row>
    <row r="2" spans="1:5" x14ac:dyDescent="0.2">
      <c r="A2" s="30">
        <v>207</v>
      </c>
      <c r="B2" s="31" t="s">
        <v>12</v>
      </c>
      <c r="C2" s="32">
        <v>55</v>
      </c>
      <c r="D2" s="33">
        <v>0</v>
      </c>
      <c r="E2" s="16">
        <f>1-D2/C2</f>
        <v>1</v>
      </c>
    </row>
    <row r="3" spans="1:5" x14ac:dyDescent="0.2">
      <c r="A3" s="30">
        <v>208</v>
      </c>
      <c r="B3" s="31" t="s">
        <v>12</v>
      </c>
      <c r="C3" s="32">
        <v>57</v>
      </c>
      <c r="D3" s="33">
        <v>57</v>
      </c>
      <c r="E3" s="16">
        <f t="shared" ref="E3:E22" si="0">1-D3/C3</f>
        <v>0</v>
      </c>
    </row>
    <row r="4" spans="1:5" x14ac:dyDescent="0.2">
      <c r="A4" s="30">
        <v>209</v>
      </c>
      <c r="B4" s="31" t="s">
        <v>12</v>
      </c>
      <c r="C4" s="32">
        <v>52</v>
      </c>
      <c r="D4" s="33">
        <v>0</v>
      </c>
      <c r="E4" s="16">
        <f t="shared" si="0"/>
        <v>1</v>
      </c>
    </row>
    <row r="5" spans="1:5" x14ac:dyDescent="0.2">
      <c r="A5" s="30">
        <v>210</v>
      </c>
      <c r="B5" s="31" t="s">
        <v>12</v>
      </c>
      <c r="C5" s="32">
        <v>59</v>
      </c>
      <c r="D5" s="33">
        <v>0</v>
      </c>
      <c r="E5" s="16">
        <f t="shared" si="0"/>
        <v>1</v>
      </c>
    </row>
    <row r="6" spans="1:5" x14ac:dyDescent="0.2">
      <c r="A6" s="30">
        <v>211</v>
      </c>
      <c r="B6" s="31" t="s">
        <v>12</v>
      </c>
      <c r="C6" s="32">
        <v>51</v>
      </c>
      <c r="D6" s="33">
        <v>0</v>
      </c>
      <c r="E6" s="16">
        <f t="shared" si="0"/>
        <v>1</v>
      </c>
    </row>
    <row r="7" spans="1:5" x14ac:dyDescent="0.2">
      <c r="A7" s="30">
        <v>212</v>
      </c>
      <c r="B7" s="31" t="s">
        <v>12</v>
      </c>
      <c r="C7" s="32">
        <v>61</v>
      </c>
      <c r="D7" s="33">
        <v>15</v>
      </c>
      <c r="E7" s="16">
        <f t="shared" si="0"/>
        <v>0.75409836065573765</v>
      </c>
    </row>
    <row r="8" spans="1:5" x14ac:dyDescent="0.2">
      <c r="A8" s="30">
        <v>213</v>
      </c>
      <c r="B8" s="31" t="s">
        <v>12</v>
      </c>
      <c r="C8" s="32">
        <v>51</v>
      </c>
      <c r="D8" s="33">
        <v>0</v>
      </c>
      <c r="E8" s="16">
        <f t="shared" si="0"/>
        <v>1</v>
      </c>
    </row>
    <row r="9" spans="1:5" x14ac:dyDescent="0.2">
      <c r="A9" s="30">
        <v>214</v>
      </c>
      <c r="B9" s="31" t="s">
        <v>12</v>
      </c>
      <c r="C9" s="32">
        <v>58</v>
      </c>
      <c r="D9" s="33">
        <v>0</v>
      </c>
      <c r="E9" s="16">
        <f t="shared" si="0"/>
        <v>1</v>
      </c>
    </row>
    <row r="10" spans="1:5" x14ac:dyDescent="0.2">
      <c r="A10" s="30">
        <v>215</v>
      </c>
      <c r="B10" s="31" t="s">
        <v>12</v>
      </c>
      <c r="C10" s="32">
        <v>54</v>
      </c>
      <c r="D10" s="33">
        <v>54</v>
      </c>
      <c r="E10" s="16">
        <f t="shared" si="0"/>
        <v>0</v>
      </c>
    </row>
    <row r="11" spans="1:5" x14ac:dyDescent="0.2">
      <c r="A11" s="30">
        <v>216</v>
      </c>
      <c r="B11" s="31" t="s">
        <v>12</v>
      </c>
      <c r="C11" s="32">
        <v>64</v>
      </c>
      <c r="D11" s="33">
        <v>0</v>
      </c>
      <c r="E11" s="16">
        <f t="shared" si="0"/>
        <v>1</v>
      </c>
    </row>
    <row r="12" spans="1:5" x14ac:dyDescent="0.2">
      <c r="A12" s="30">
        <v>217</v>
      </c>
      <c r="B12" s="31" t="s">
        <v>12</v>
      </c>
      <c r="C12" s="32">
        <v>57</v>
      </c>
      <c r="D12" s="33">
        <v>23</v>
      </c>
      <c r="E12" s="16">
        <f t="shared" si="0"/>
        <v>0.59649122807017552</v>
      </c>
    </row>
    <row r="13" spans="1:5" x14ac:dyDescent="0.2">
      <c r="A13" s="30">
        <v>218</v>
      </c>
      <c r="B13" s="31" t="s">
        <v>12</v>
      </c>
      <c r="C13" s="32">
        <v>52</v>
      </c>
      <c r="D13" s="33">
        <v>7</v>
      </c>
      <c r="E13" s="16">
        <f t="shared" si="0"/>
        <v>0.86538461538461542</v>
      </c>
    </row>
    <row r="14" spans="1:5" x14ac:dyDescent="0.2">
      <c r="A14" s="30">
        <v>219</v>
      </c>
      <c r="B14" s="31" t="s">
        <v>12</v>
      </c>
      <c r="C14" s="32">
        <v>57</v>
      </c>
      <c r="D14" s="33">
        <v>53</v>
      </c>
      <c r="E14" s="16">
        <f t="shared" si="0"/>
        <v>7.0175438596491224E-2</v>
      </c>
    </row>
    <row r="15" spans="1:5" x14ac:dyDescent="0.2">
      <c r="A15" s="30">
        <v>220</v>
      </c>
      <c r="B15" s="31" t="s">
        <v>12</v>
      </c>
      <c r="C15" s="32">
        <v>53</v>
      </c>
      <c r="D15" s="33">
        <v>0</v>
      </c>
      <c r="E15" s="16">
        <f t="shared" si="0"/>
        <v>1</v>
      </c>
    </row>
    <row r="16" spans="1:5" x14ac:dyDescent="0.2">
      <c r="A16" s="30">
        <v>221</v>
      </c>
      <c r="B16" s="31" t="s">
        <v>12</v>
      </c>
      <c r="C16" s="32">
        <v>53</v>
      </c>
      <c r="D16" s="33">
        <v>0</v>
      </c>
      <c r="E16" s="16">
        <f t="shared" si="0"/>
        <v>1</v>
      </c>
    </row>
    <row r="17" spans="1:5" x14ac:dyDescent="0.2">
      <c r="A17" s="30">
        <v>222</v>
      </c>
      <c r="B17" s="31" t="s">
        <v>12</v>
      </c>
      <c r="C17" s="32">
        <v>59</v>
      </c>
      <c r="D17" s="33">
        <v>0</v>
      </c>
      <c r="E17" s="16">
        <f t="shared" si="0"/>
        <v>1</v>
      </c>
    </row>
    <row r="18" spans="1:5" x14ac:dyDescent="0.2">
      <c r="A18" s="30">
        <v>223</v>
      </c>
      <c r="B18" s="31" t="s">
        <v>12</v>
      </c>
      <c r="C18" s="32">
        <v>60</v>
      </c>
      <c r="D18" s="33">
        <v>0</v>
      </c>
      <c r="E18" s="16">
        <f t="shared" si="0"/>
        <v>1</v>
      </c>
    </row>
    <row r="19" spans="1:5" x14ac:dyDescent="0.2">
      <c r="A19" s="30">
        <v>224</v>
      </c>
      <c r="B19" s="31" t="s">
        <v>12</v>
      </c>
      <c r="C19" s="32">
        <v>51</v>
      </c>
      <c r="D19" s="33">
        <v>0</v>
      </c>
      <c r="E19" s="16">
        <f t="shared" si="0"/>
        <v>1</v>
      </c>
    </row>
    <row r="20" spans="1:5" x14ac:dyDescent="0.2">
      <c r="A20" s="30">
        <v>225</v>
      </c>
      <c r="B20" s="31" t="s">
        <v>12</v>
      </c>
      <c r="C20" s="32">
        <v>59</v>
      </c>
      <c r="D20" s="33">
        <v>0</v>
      </c>
      <c r="E20" s="16">
        <f t="shared" si="0"/>
        <v>1</v>
      </c>
    </row>
    <row r="21" spans="1:5" x14ac:dyDescent="0.2">
      <c r="A21" s="30">
        <v>226</v>
      </c>
      <c r="B21" s="31" t="s">
        <v>12</v>
      </c>
      <c r="C21" s="32">
        <v>56</v>
      </c>
      <c r="D21" s="33">
        <v>56</v>
      </c>
      <c r="E21" s="16">
        <f t="shared" si="0"/>
        <v>0</v>
      </c>
    </row>
    <row r="22" spans="1:5" x14ac:dyDescent="0.2">
      <c r="A22" s="30">
        <v>227</v>
      </c>
      <c r="B22" s="31" t="s">
        <v>27</v>
      </c>
      <c r="C22" s="32">
        <v>59</v>
      </c>
      <c r="D22" s="33">
        <v>58</v>
      </c>
      <c r="E22" s="16">
        <f t="shared" si="0"/>
        <v>1.6949152542372836E-2</v>
      </c>
    </row>
    <row r="23" spans="1:5" x14ac:dyDescent="0.2">
      <c r="A23" s="7" t="s">
        <v>6</v>
      </c>
      <c r="B23" s="16"/>
      <c r="C23" s="6">
        <f>AVERAGE(C2:C22)</f>
        <v>56.095238095238095</v>
      </c>
      <c r="D23" s="16"/>
      <c r="E23" s="6">
        <f>AVERAGE(E2:E22)</f>
        <v>0.72871899024997111</v>
      </c>
    </row>
    <row r="26" spans="1:5" x14ac:dyDescent="0.2">
      <c r="A26" s="14" t="s">
        <v>19</v>
      </c>
    </row>
    <row r="27" spans="1:5" x14ac:dyDescent="0.2">
      <c r="A27" s="14" t="s">
        <v>33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D22C-F64C-4889-A224-15B8A3816C50}">
  <dimension ref="A1:E26"/>
  <sheetViews>
    <sheetView workbookViewId="0">
      <selection activeCell="A26" sqref="A26"/>
    </sheetView>
  </sheetViews>
  <sheetFormatPr defaultRowHeight="14.25" x14ac:dyDescent="0.2"/>
  <cols>
    <col min="1" max="1" width="22.75" style="14" customWidth="1"/>
    <col min="2" max="2" width="27.375" style="14" customWidth="1"/>
    <col min="3" max="3" width="23.125" style="14" customWidth="1"/>
    <col min="4" max="4" width="27.125" style="14" customWidth="1"/>
    <col min="5" max="5" width="38.875" style="14" customWidth="1"/>
    <col min="6" max="16384" width="9" style="14"/>
  </cols>
  <sheetData>
    <row r="1" spans="1:5" ht="15" x14ac:dyDescent="0.2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</row>
    <row r="2" spans="1:5" x14ac:dyDescent="0.2">
      <c r="A2" s="34">
        <v>183</v>
      </c>
      <c r="B2" s="35" t="s">
        <v>13</v>
      </c>
      <c r="C2" s="36">
        <v>40</v>
      </c>
      <c r="D2" s="37">
        <v>3</v>
      </c>
      <c r="E2" s="16">
        <f>1-D2/C2</f>
        <v>0.92500000000000004</v>
      </c>
    </row>
    <row r="3" spans="1:5" x14ac:dyDescent="0.2">
      <c r="A3" s="34">
        <v>184</v>
      </c>
      <c r="B3" s="35" t="s">
        <v>13</v>
      </c>
      <c r="C3" s="36">
        <v>28</v>
      </c>
      <c r="D3" s="37">
        <v>17</v>
      </c>
      <c r="E3" s="16">
        <f t="shared" ref="E3:E21" si="0">1-D3/C3</f>
        <v>0.3928571428571429</v>
      </c>
    </row>
    <row r="4" spans="1:5" x14ac:dyDescent="0.2">
      <c r="A4" s="34">
        <v>185</v>
      </c>
      <c r="B4" s="35" t="s">
        <v>13</v>
      </c>
      <c r="C4" s="36">
        <v>30</v>
      </c>
      <c r="D4" s="37">
        <v>30</v>
      </c>
      <c r="E4" s="16">
        <f t="shared" si="0"/>
        <v>0</v>
      </c>
    </row>
    <row r="5" spans="1:5" x14ac:dyDescent="0.2">
      <c r="A5" s="34">
        <v>186</v>
      </c>
      <c r="B5" s="35" t="s">
        <v>13</v>
      </c>
      <c r="C5" s="36">
        <v>42</v>
      </c>
      <c r="D5" s="37">
        <v>43</v>
      </c>
      <c r="E5" s="16">
        <f t="shared" si="0"/>
        <v>-2.3809523809523725E-2</v>
      </c>
    </row>
    <row r="6" spans="1:5" x14ac:dyDescent="0.2">
      <c r="A6" s="34">
        <v>187</v>
      </c>
      <c r="B6" s="35" t="s">
        <v>13</v>
      </c>
      <c r="C6" s="36">
        <v>25</v>
      </c>
      <c r="D6" s="37">
        <v>0</v>
      </c>
      <c r="E6" s="16">
        <f t="shared" si="0"/>
        <v>1</v>
      </c>
    </row>
    <row r="7" spans="1:5" x14ac:dyDescent="0.2">
      <c r="A7" s="34">
        <v>188</v>
      </c>
      <c r="B7" s="35" t="s">
        <v>13</v>
      </c>
      <c r="C7" s="36">
        <v>41</v>
      </c>
      <c r="D7" s="37">
        <v>0</v>
      </c>
      <c r="E7" s="16">
        <f t="shared" si="0"/>
        <v>1</v>
      </c>
    </row>
    <row r="8" spans="1:5" x14ac:dyDescent="0.2">
      <c r="A8" s="34">
        <v>189</v>
      </c>
      <c r="B8" s="35" t="s">
        <v>13</v>
      </c>
      <c r="C8" s="36">
        <v>39</v>
      </c>
      <c r="D8" s="37">
        <v>0</v>
      </c>
      <c r="E8" s="16">
        <f t="shared" si="0"/>
        <v>1</v>
      </c>
    </row>
    <row r="9" spans="1:5" x14ac:dyDescent="0.2">
      <c r="A9" s="34">
        <v>190</v>
      </c>
      <c r="B9" s="35" t="s">
        <v>13</v>
      </c>
      <c r="C9" s="36">
        <v>49</v>
      </c>
      <c r="D9" s="37">
        <v>18</v>
      </c>
      <c r="E9" s="16">
        <f t="shared" si="0"/>
        <v>0.63265306122448983</v>
      </c>
    </row>
    <row r="10" spans="1:5" x14ac:dyDescent="0.2">
      <c r="A10" s="34">
        <v>191</v>
      </c>
      <c r="B10" s="35" t="s">
        <v>13</v>
      </c>
      <c r="C10" s="36">
        <v>41</v>
      </c>
      <c r="D10" s="37">
        <v>41</v>
      </c>
      <c r="E10" s="16">
        <f t="shared" si="0"/>
        <v>0</v>
      </c>
    </row>
    <row r="11" spans="1:5" x14ac:dyDescent="0.2">
      <c r="A11" s="34">
        <v>192</v>
      </c>
      <c r="B11" s="35" t="s">
        <v>13</v>
      </c>
      <c r="C11" s="36">
        <v>39</v>
      </c>
      <c r="D11" s="37">
        <v>18</v>
      </c>
      <c r="E11" s="16">
        <f t="shared" si="0"/>
        <v>0.53846153846153844</v>
      </c>
    </row>
    <row r="12" spans="1:5" x14ac:dyDescent="0.2">
      <c r="A12" s="34">
        <v>193</v>
      </c>
      <c r="B12" s="35" t="s">
        <v>13</v>
      </c>
      <c r="C12" s="36">
        <v>37</v>
      </c>
      <c r="D12" s="37">
        <v>39</v>
      </c>
      <c r="E12" s="16">
        <f t="shared" si="0"/>
        <v>-5.4054054054053946E-2</v>
      </c>
    </row>
    <row r="13" spans="1:5" x14ac:dyDescent="0.2">
      <c r="A13" s="34">
        <v>194</v>
      </c>
      <c r="B13" s="35" t="s">
        <v>13</v>
      </c>
      <c r="C13" s="36">
        <v>32</v>
      </c>
      <c r="D13" s="37">
        <v>0</v>
      </c>
      <c r="E13" s="16">
        <f t="shared" si="0"/>
        <v>1</v>
      </c>
    </row>
    <row r="14" spans="1:5" x14ac:dyDescent="0.2">
      <c r="A14" s="34">
        <v>195</v>
      </c>
      <c r="B14" s="35" t="s">
        <v>13</v>
      </c>
      <c r="C14" s="36">
        <v>40</v>
      </c>
      <c r="D14" s="37">
        <v>40</v>
      </c>
      <c r="E14" s="16">
        <f t="shared" si="0"/>
        <v>0</v>
      </c>
    </row>
    <row r="15" spans="1:5" x14ac:dyDescent="0.2">
      <c r="A15" s="34">
        <v>196</v>
      </c>
      <c r="B15" s="35" t="s">
        <v>13</v>
      </c>
      <c r="C15" s="36">
        <v>36</v>
      </c>
      <c r="D15" s="37">
        <v>35</v>
      </c>
      <c r="E15" s="16">
        <f t="shared" si="0"/>
        <v>2.777777777777779E-2</v>
      </c>
    </row>
    <row r="16" spans="1:5" x14ac:dyDescent="0.2">
      <c r="A16" s="34">
        <v>197</v>
      </c>
      <c r="B16" s="35" t="s">
        <v>13</v>
      </c>
      <c r="C16" s="36">
        <v>37</v>
      </c>
      <c r="D16" s="37">
        <v>0</v>
      </c>
      <c r="E16" s="16">
        <f t="shared" si="0"/>
        <v>1</v>
      </c>
    </row>
    <row r="17" spans="1:5" x14ac:dyDescent="0.2">
      <c r="A17" s="34">
        <v>198</v>
      </c>
      <c r="B17" s="35" t="s">
        <v>13</v>
      </c>
      <c r="C17" s="36">
        <v>39</v>
      </c>
      <c r="D17" s="37">
        <v>25</v>
      </c>
      <c r="E17" s="16">
        <f t="shared" si="0"/>
        <v>0.35897435897435892</v>
      </c>
    </row>
    <row r="18" spans="1:5" x14ac:dyDescent="0.2">
      <c r="A18" s="34">
        <v>199</v>
      </c>
      <c r="B18" s="35" t="s">
        <v>13</v>
      </c>
      <c r="C18" s="36">
        <v>48</v>
      </c>
      <c r="D18" s="37">
        <v>51</v>
      </c>
      <c r="E18" s="16">
        <f t="shared" si="0"/>
        <v>-6.25E-2</v>
      </c>
    </row>
    <row r="19" spans="1:5" x14ac:dyDescent="0.2">
      <c r="A19" s="34">
        <v>200</v>
      </c>
      <c r="B19" s="35" t="s">
        <v>28</v>
      </c>
      <c r="C19" s="36">
        <v>39</v>
      </c>
      <c r="D19" s="37">
        <v>8</v>
      </c>
      <c r="E19" s="16">
        <f t="shared" si="0"/>
        <v>0.79487179487179493</v>
      </c>
    </row>
    <row r="20" spans="1:5" x14ac:dyDescent="0.2">
      <c r="A20" s="34">
        <v>201</v>
      </c>
      <c r="B20" s="35" t="s">
        <v>13</v>
      </c>
      <c r="C20" s="36">
        <v>36</v>
      </c>
      <c r="D20" s="37">
        <v>0</v>
      </c>
      <c r="E20" s="16">
        <f t="shared" si="0"/>
        <v>1</v>
      </c>
    </row>
    <row r="21" spans="1:5" x14ac:dyDescent="0.2">
      <c r="A21" s="34">
        <v>202</v>
      </c>
      <c r="B21" s="35" t="s">
        <v>13</v>
      </c>
      <c r="C21" s="36">
        <v>62</v>
      </c>
      <c r="D21" s="37">
        <v>0</v>
      </c>
      <c r="E21" s="16">
        <f t="shared" si="0"/>
        <v>1</v>
      </c>
    </row>
    <row r="22" spans="1:5" x14ac:dyDescent="0.2">
      <c r="A22" s="7" t="s">
        <v>6</v>
      </c>
      <c r="B22" s="16"/>
      <c r="C22" s="6">
        <f>AVERAGE(C2:C21)</f>
        <v>39</v>
      </c>
      <c r="D22" s="16"/>
      <c r="E22" s="6">
        <f>AVERAGE(E2:E21)</f>
        <v>0.52651160481517623</v>
      </c>
    </row>
    <row r="25" spans="1:5" x14ac:dyDescent="0.2">
      <c r="A25" s="14" t="s">
        <v>16</v>
      </c>
    </row>
    <row r="26" spans="1:5" x14ac:dyDescent="0.2">
      <c r="A26" s="14" t="s">
        <v>31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1237-471C-4E79-8382-0928E951463B}">
  <dimension ref="A1:E84"/>
  <sheetViews>
    <sheetView tabSelected="1" workbookViewId="0">
      <selection activeCell="C80" sqref="C80:E80"/>
    </sheetView>
  </sheetViews>
  <sheetFormatPr defaultRowHeight="14.25" x14ac:dyDescent="0.2"/>
  <cols>
    <col min="1" max="1" width="20.5" style="14" customWidth="1"/>
    <col min="2" max="2" width="27.375" style="14" customWidth="1"/>
    <col min="3" max="3" width="23.125" style="14" customWidth="1"/>
    <col min="4" max="4" width="27.125" style="14" customWidth="1"/>
    <col min="5" max="5" width="38.875" style="14" customWidth="1"/>
    <col min="6" max="16384" width="9" style="14"/>
  </cols>
  <sheetData>
    <row r="1" spans="1:5" ht="15" x14ac:dyDescent="0.2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</row>
    <row r="2" spans="1:5" x14ac:dyDescent="0.2">
      <c r="A2" s="38">
        <v>2</v>
      </c>
      <c r="B2" s="39" t="s">
        <v>14</v>
      </c>
      <c r="C2" s="40">
        <v>130</v>
      </c>
      <c r="D2" s="42">
        <v>122</v>
      </c>
      <c r="E2" s="16">
        <f>1-D2/C2</f>
        <v>6.1538461538461542E-2</v>
      </c>
    </row>
    <row r="3" spans="1:5" x14ac:dyDescent="0.2">
      <c r="A3" s="38">
        <v>3</v>
      </c>
      <c r="B3" s="39" t="s">
        <v>14</v>
      </c>
      <c r="C3" s="40">
        <v>135</v>
      </c>
      <c r="D3" s="42">
        <v>127</v>
      </c>
      <c r="E3" s="16">
        <f t="shared" ref="E3:E66" si="0">1-D3/C3</f>
        <v>5.9259259259259234E-2</v>
      </c>
    </row>
    <row r="4" spans="1:5" x14ac:dyDescent="0.2">
      <c r="A4" s="38">
        <v>4</v>
      </c>
      <c r="B4" s="39" t="s">
        <v>14</v>
      </c>
      <c r="C4" s="40">
        <v>146</v>
      </c>
      <c r="D4" s="42">
        <v>1</v>
      </c>
      <c r="E4" s="16">
        <f t="shared" si="0"/>
        <v>0.99315068493150682</v>
      </c>
    </row>
    <row r="5" spans="1:5" x14ac:dyDescent="0.2">
      <c r="A5" s="38">
        <v>5</v>
      </c>
      <c r="B5" s="39" t="s">
        <v>14</v>
      </c>
      <c r="C5" s="40">
        <v>139</v>
      </c>
      <c r="D5" s="42">
        <v>25</v>
      </c>
      <c r="E5" s="16">
        <f t="shared" si="0"/>
        <v>0.82014388489208634</v>
      </c>
    </row>
    <row r="6" spans="1:5" x14ac:dyDescent="0.2">
      <c r="A6" s="38">
        <v>6</v>
      </c>
      <c r="B6" s="39" t="s">
        <v>14</v>
      </c>
      <c r="C6" s="40">
        <v>170</v>
      </c>
      <c r="D6" s="42">
        <v>169</v>
      </c>
      <c r="E6" s="16">
        <f t="shared" si="0"/>
        <v>5.8823529411764497E-3</v>
      </c>
    </row>
    <row r="7" spans="1:5" x14ac:dyDescent="0.2">
      <c r="A7" s="38">
        <v>7</v>
      </c>
      <c r="B7" s="39" t="s">
        <v>14</v>
      </c>
      <c r="C7" s="40">
        <v>173</v>
      </c>
      <c r="D7" s="42">
        <v>54</v>
      </c>
      <c r="E7" s="16">
        <f t="shared" si="0"/>
        <v>0.68786127167630062</v>
      </c>
    </row>
    <row r="8" spans="1:5" x14ac:dyDescent="0.2">
      <c r="A8" s="38">
        <v>8</v>
      </c>
      <c r="B8" s="39" t="s">
        <v>14</v>
      </c>
      <c r="C8" s="40">
        <v>138</v>
      </c>
      <c r="D8" s="42">
        <v>1</v>
      </c>
      <c r="E8" s="16">
        <f t="shared" si="0"/>
        <v>0.99275362318840576</v>
      </c>
    </row>
    <row r="9" spans="1:5" x14ac:dyDescent="0.2">
      <c r="A9" s="38">
        <v>9</v>
      </c>
      <c r="B9" s="39" t="s">
        <v>14</v>
      </c>
      <c r="C9" s="40">
        <v>127</v>
      </c>
      <c r="D9" s="42">
        <v>71</v>
      </c>
      <c r="E9" s="16">
        <f t="shared" si="0"/>
        <v>0.44094488188976377</v>
      </c>
    </row>
    <row r="10" spans="1:5" x14ac:dyDescent="0.2">
      <c r="A10" s="38">
        <v>10</v>
      </c>
      <c r="B10" s="39" t="s">
        <v>14</v>
      </c>
      <c r="C10" s="40">
        <v>141</v>
      </c>
      <c r="D10" s="42">
        <v>93</v>
      </c>
      <c r="E10" s="16">
        <f t="shared" si="0"/>
        <v>0.34042553191489366</v>
      </c>
    </row>
    <row r="11" spans="1:5" x14ac:dyDescent="0.2">
      <c r="A11" s="38">
        <v>11</v>
      </c>
      <c r="B11" s="39" t="s">
        <v>14</v>
      </c>
      <c r="C11" s="40">
        <v>123</v>
      </c>
      <c r="D11" s="42">
        <v>106</v>
      </c>
      <c r="E11" s="16">
        <f t="shared" si="0"/>
        <v>0.13821138211382111</v>
      </c>
    </row>
    <row r="12" spans="1:5" x14ac:dyDescent="0.2">
      <c r="A12" s="38">
        <v>12</v>
      </c>
      <c r="B12" s="39" t="s">
        <v>14</v>
      </c>
      <c r="C12" s="40">
        <v>135</v>
      </c>
      <c r="D12" s="42">
        <v>17</v>
      </c>
      <c r="E12" s="16">
        <f t="shared" si="0"/>
        <v>0.87407407407407411</v>
      </c>
    </row>
    <row r="13" spans="1:5" x14ac:dyDescent="0.2">
      <c r="A13" s="38">
        <v>13</v>
      </c>
      <c r="B13" s="39" t="s">
        <v>14</v>
      </c>
      <c r="C13" s="40">
        <v>179</v>
      </c>
      <c r="D13" s="42">
        <v>94</v>
      </c>
      <c r="E13" s="16">
        <f t="shared" si="0"/>
        <v>0.47486033519553073</v>
      </c>
    </row>
    <row r="14" spans="1:5" x14ac:dyDescent="0.2">
      <c r="A14" s="38">
        <v>14</v>
      </c>
      <c r="B14" s="39" t="s">
        <v>14</v>
      </c>
      <c r="C14" s="40">
        <v>184</v>
      </c>
      <c r="D14" s="42">
        <v>0</v>
      </c>
      <c r="E14" s="16">
        <f t="shared" si="0"/>
        <v>1</v>
      </c>
    </row>
    <row r="15" spans="1:5" x14ac:dyDescent="0.2">
      <c r="A15" s="38">
        <v>15</v>
      </c>
      <c r="B15" s="39" t="s">
        <v>14</v>
      </c>
      <c r="C15" s="40">
        <v>186</v>
      </c>
      <c r="D15" s="42">
        <v>186</v>
      </c>
      <c r="E15" s="16">
        <f t="shared" si="0"/>
        <v>0</v>
      </c>
    </row>
    <row r="16" spans="1:5" x14ac:dyDescent="0.2">
      <c r="A16" s="38">
        <v>16</v>
      </c>
      <c r="B16" s="39" t="s">
        <v>14</v>
      </c>
      <c r="C16" s="40">
        <v>156</v>
      </c>
      <c r="D16" s="42">
        <v>68</v>
      </c>
      <c r="E16" s="16">
        <f t="shared" si="0"/>
        <v>0.5641025641025641</v>
      </c>
    </row>
    <row r="17" spans="1:5" x14ac:dyDescent="0.2">
      <c r="A17" s="38">
        <v>17</v>
      </c>
      <c r="B17" s="39" t="s">
        <v>14</v>
      </c>
      <c r="C17" s="40">
        <v>146</v>
      </c>
      <c r="D17" s="42">
        <v>6</v>
      </c>
      <c r="E17" s="16">
        <f t="shared" si="0"/>
        <v>0.95890410958904115</v>
      </c>
    </row>
    <row r="18" spans="1:5" x14ac:dyDescent="0.2">
      <c r="A18" s="38">
        <v>18</v>
      </c>
      <c r="B18" s="39" t="s">
        <v>14</v>
      </c>
      <c r="C18" s="40">
        <v>180</v>
      </c>
      <c r="D18" s="42">
        <v>48</v>
      </c>
      <c r="E18" s="16">
        <f t="shared" si="0"/>
        <v>0.73333333333333339</v>
      </c>
    </row>
    <row r="19" spans="1:5" x14ac:dyDescent="0.2">
      <c r="A19" s="38">
        <v>19</v>
      </c>
      <c r="B19" s="39" t="s">
        <v>14</v>
      </c>
      <c r="C19" s="40">
        <v>133</v>
      </c>
      <c r="D19" s="42">
        <v>0</v>
      </c>
      <c r="E19" s="16">
        <f t="shared" si="0"/>
        <v>1</v>
      </c>
    </row>
    <row r="20" spans="1:5" x14ac:dyDescent="0.2">
      <c r="A20" s="38">
        <v>20</v>
      </c>
      <c r="B20" s="39" t="s">
        <v>14</v>
      </c>
      <c r="C20" s="40">
        <v>184</v>
      </c>
      <c r="D20" s="42">
        <v>181</v>
      </c>
      <c r="E20" s="16">
        <f t="shared" si="0"/>
        <v>1.6304347826086918E-2</v>
      </c>
    </row>
    <row r="21" spans="1:5" x14ac:dyDescent="0.2">
      <c r="A21" s="38">
        <v>21</v>
      </c>
      <c r="B21" s="39" t="s">
        <v>14</v>
      </c>
      <c r="C21" s="40">
        <v>146</v>
      </c>
      <c r="D21" s="42">
        <v>68</v>
      </c>
      <c r="E21" s="16">
        <f t="shared" si="0"/>
        <v>0.53424657534246578</v>
      </c>
    </row>
    <row r="22" spans="1:5" x14ac:dyDescent="0.2">
      <c r="A22" s="38">
        <v>22</v>
      </c>
      <c r="B22" s="39" t="s">
        <v>29</v>
      </c>
      <c r="C22" s="40">
        <v>159</v>
      </c>
      <c r="D22" s="42">
        <v>0</v>
      </c>
      <c r="E22" s="16">
        <f t="shared" si="0"/>
        <v>1</v>
      </c>
    </row>
    <row r="23" spans="1:5" x14ac:dyDescent="0.2">
      <c r="A23" s="38">
        <v>23</v>
      </c>
      <c r="B23" s="39" t="s">
        <v>14</v>
      </c>
      <c r="C23" s="40">
        <v>154</v>
      </c>
      <c r="D23" s="42">
        <v>0</v>
      </c>
      <c r="E23" s="16">
        <f t="shared" si="0"/>
        <v>1</v>
      </c>
    </row>
    <row r="24" spans="1:5" x14ac:dyDescent="0.2">
      <c r="A24" s="38">
        <v>24</v>
      </c>
      <c r="B24" s="39" t="s">
        <v>14</v>
      </c>
      <c r="C24" s="40">
        <v>166</v>
      </c>
      <c r="D24" s="42">
        <v>145</v>
      </c>
      <c r="E24" s="42">
        <f t="shared" si="0"/>
        <v>0.12650602409638556</v>
      </c>
    </row>
    <row r="25" spans="1:5" x14ac:dyDescent="0.2">
      <c r="A25" s="38">
        <v>25</v>
      </c>
      <c r="B25" s="39" t="s">
        <v>14</v>
      </c>
      <c r="C25" s="40">
        <v>159</v>
      </c>
      <c r="D25" s="42">
        <v>0</v>
      </c>
      <c r="E25" s="42">
        <f t="shared" si="0"/>
        <v>1</v>
      </c>
    </row>
    <row r="26" spans="1:5" x14ac:dyDescent="0.2">
      <c r="A26" s="38">
        <v>26</v>
      </c>
      <c r="B26" s="39" t="s">
        <v>14</v>
      </c>
      <c r="C26" s="40">
        <v>177</v>
      </c>
      <c r="D26" s="42">
        <v>66</v>
      </c>
      <c r="E26" s="42">
        <f t="shared" si="0"/>
        <v>0.6271186440677966</v>
      </c>
    </row>
    <row r="27" spans="1:5" x14ac:dyDescent="0.2">
      <c r="A27" s="38">
        <v>27</v>
      </c>
      <c r="B27" s="39" t="s">
        <v>14</v>
      </c>
      <c r="C27" s="40">
        <v>166</v>
      </c>
      <c r="D27" s="42">
        <v>166</v>
      </c>
      <c r="E27" s="42">
        <f t="shared" si="0"/>
        <v>0</v>
      </c>
    </row>
    <row r="28" spans="1:5" x14ac:dyDescent="0.2">
      <c r="A28" s="38">
        <v>28</v>
      </c>
      <c r="B28" s="39" t="s">
        <v>14</v>
      </c>
      <c r="C28" s="40">
        <v>196</v>
      </c>
      <c r="D28" s="42">
        <v>196</v>
      </c>
      <c r="E28" s="42">
        <f t="shared" si="0"/>
        <v>0</v>
      </c>
    </row>
    <row r="29" spans="1:5" x14ac:dyDescent="0.2">
      <c r="A29" s="38">
        <v>29</v>
      </c>
      <c r="B29" s="39" t="s">
        <v>14</v>
      </c>
      <c r="C29" s="40">
        <v>126</v>
      </c>
      <c r="D29" s="42">
        <v>122</v>
      </c>
      <c r="E29" s="42">
        <f t="shared" si="0"/>
        <v>3.1746031746031744E-2</v>
      </c>
    </row>
    <row r="30" spans="1:5" x14ac:dyDescent="0.2">
      <c r="A30" s="38">
        <v>30</v>
      </c>
      <c r="B30" s="39" t="s">
        <v>14</v>
      </c>
      <c r="C30" s="40">
        <v>102</v>
      </c>
      <c r="D30" s="42">
        <v>101</v>
      </c>
      <c r="E30" s="42">
        <f t="shared" si="0"/>
        <v>9.8039215686274161E-3</v>
      </c>
    </row>
    <row r="31" spans="1:5" x14ac:dyDescent="0.2">
      <c r="A31" s="38">
        <v>31</v>
      </c>
      <c r="B31" s="39" t="s">
        <v>14</v>
      </c>
      <c r="C31" s="40">
        <v>103</v>
      </c>
      <c r="D31" s="42">
        <v>8</v>
      </c>
      <c r="E31" s="42">
        <f t="shared" si="0"/>
        <v>0.92233009708737868</v>
      </c>
    </row>
    <row r="32" spans="1:5" x14ac:dyDescent="0.2">
      <c r="A32" s="38">
        <v>32</v>
      </c>
      <c r="B32" s="39" t="s">
        <v>14</v>
      </c>
      <c r="C32" s="40">
        <v>168</v>
      </c>
      <c r="D32" s="42">
        <v>0</v>
      </c>
      <c r="E32" s="42">
        <f t="shared" si="0"/>
        <v>1</v>
      </c>
    </row>
    <row r="33" spans="1:5" x14ac:dyDescent="0.2">
      <c r="A33" s="38">
        <v>33</v>
      </c>
      <c r="B33" s="39" t="s">
        <v>14</v>
      </c>
      <c r="C33" s="40">
        <v>176</v>
      </c>
      <c r="D33" s="42">
        <v>48</v>
      </c>
      <c r="E33" s="42">
        <f t="shared" si="0"/>
        <v>0.72727272727272729</v>
      </c>
    </row>
    <row r="34" spans="1:5" x14ac:dyDescent="0.2">
      <c r="A34" s="38">
        <v>34</v>
      </c>
      <c r="B34" s="39" t="s">
        <v>14</v>
      </c>
      <c r="C34" s="40">
        <v>237</v>
      </c>
      <c r="D34" s="42">
        <v>74</v>
      </c>
      <c r="E34" s="42">
        <f t="shared" si="0"/>
        <v>0.68776371308016881</v>
      </c>
    </row>
    <row r="35" spans="1:5" x14ac:dyDescent="0.2">
      <c r="A35" s="38">
        <v>35</v>
      </c>
      <c r="B35" s="39" t="s">
        <v>14</v>
      </c>
      <c r="C35" s="40">
        <v>145</v>
      </c>
      <c r="D35" s="42">
        <v>0</v>
      </c>
      <c r="E35" s="42">
        <f t="shared" si="0"/>
        <v>1</v>
      </c>
    </row>
    <row r="36" spans="1:5" x14ac:dyDescent="0.2">
      <c r="A36" s="38">
        <v>36</v>
      </c>
      <c r="B36" s="39" t="s">
        <v>14</v>
      </c>
      <c r="C36" s="40">
        <v>158</v>
      </c>
      <c r="D36" s="42">
        <v>81</v>
      </c>
      <c r="E36" s="42">
        <f t="shared" si="0"/>
        <v>0.48734177215189878</v>
      </c>
    </row>
    <row r="37" spans="1:5" x14ac:dyDescent="0.2">
      <c r="A37" s="38">
        <v>37</v>
      </c>
      <c r="B37" s="39" t="s">
        <v>14</v>
      </c>
      <c r="C37" s="40">
        <v>156</v>
      </c>
      <c r="D37" s="42">
        <v>0</v>
      </c>
      <c r="E37" s="42">
        <f t="shared" si="0"/>
        <v>1</v>
      </c>
    </row>
    <row r="38" spans="1:5" x14ac:dyDescent="0.2">
      <c r="A38" s="38">
        <v>38</v>
      </c>
      <c r="B38" s="39" t="s">
        <v>14</v>
      </c>
      <c r="C38" s="40">
        <v>142</v>
      </c>
      <c r="D38" s="42">
        <v>0</v>
      </c>
      <c r="E38" s="42">
        <f t="shared" si="0"/>
        <v>1</v>
      </c>
    </row>
    <row r="39" spans="1:5" x14ac:dyDescent="0.2">
      <c r="A39" s="38">
        <v>39</v>
      </c>
      <c r="B39" s="39" t="s">
        <v>14</v>
      </c>
      <c r="C39" s="40">
        <v>153</v>
      </c>
      <c r="D39" s="42">
        <v>18</v>
      </c>
      <c r="E39" s="42">
        <f t="shared" si="0"/>
        <v>0.88235294117647056</v>
      </c>
    </row>
    <row r="40" spans="1:5" x14ac:dyDescent="0.2">
      <c r="A40" s="38">
        <v>40</v>
      </c>
      <c r="B40" s="39" t="s">
        <v>14</v>
      </c>
      <c r="C40" s="40">
        <v>150</v>
      </c>
      <c r="D40" s="42">
        <v>0</v>
      </c>
      <c r="E40" s="42">
        <f t="shared" si="0"/>
        <v>1</v>
      </c>
    </row>
    <row r="41" spans="1:5" x14ac:dyDescent="0.2">
      <c r="A41" s="38">
        <v>41</v>
      </c>
      <c r="B41" s="39" t="s">
        <v>14</v>
      </c>
      <c r="C41" s="40">
        <v>147</v>
      </c>
      <c r="D41" s="42">
        <v>112</v>
      </c>
      <c r="E41" s="42">
        <f t="shared" si="0"/>
        <v>0.23809523809523814</v>
      </c>
    </row>
    <row r="42" spans="1:5" x14ac:dyDescent="0.2">
      <c r="A42" s="38">
        <v>43</v>
      </c>
      <c r="B42" s="39" t="s">
        <v>14</v>
      </c>
      <c r="C42" s="40">
        <v>149</v>
      </c>
      <c r="D42" s="42">
        <v>79</v>
      </c>
      <c r="E42" s="42">
        <f t="shared" si="0"/>
        <v>0.46979865771812079</v>
      </c>
    </row>
    <row r="43" spans="1:5" x14ac:dyDescent="0.2">
      <c r="A43" s="38">
        <v>44</v>
      </c>
      <c r="B43" s="39" t="s">
        <v>14</v>
      </c>
      <c r="C43" s="40">
        <v>114</v>
      </c>
      <c r="D43" s="42">
        <v>0</v>
      </c>
      <c r="E43" s="42">
        <f t="shared" si="0"/>
        <v>1</v>
      </c>
    </row>
    <row r="44" spans="1:5" x14ac:dyDescent="0.2">
      <c r="A44" s="38">
        <v>45</v>
      </c>
      <c r="B44" s="39" t="s">
        <v>14</v>
      </c>
      <c r="C44" s="40">
        <v>178</v>
      </c>
      <c r="D44" s="42">
        <v>38</v>
      </c>
      <c r="E44" s="42">
        <f t="shared" si="0"/>
        <v>0.7865168539325843</v>
      </c>
    </row>
    <row r="45" spans="1:5" x14ac:dyDescent="0.2">
      <c r="A45" s="38">
        <v>46</v>
      </c>
      <c r="B45" s="39" t="s">
        <v>14</v>
      </c>
      <c r="C45" s="40">
        <v>175</v>
      </c>
      <c r="D45" s="42">
        <v>88</v>
      </c>
      <c r="E45" s="42">
        <f t="shared" si="0"/>
        <v>0.49714285714285711</v>
      </c>
    </row>
    <row r="46" spans="1:5" x14ac:dyDescent="0.2">
      <c r="A46" s="38">
        <v>47</v>
      </c>
      <c r="B46" s="39" t="s">
        <v>14</v>
      </c>
      <c r="C46" s="40">
        <v>184</v>
      </c>
      <c r="D46" s="42">
        <v>12</v>
      </c>
      <c r="E46" s="42">
        <f t="shared" si="0"/>
        <v>0.93478260869565222</v>
      </c>
    </row>
    <row r="47" spans="1:5" x14ac:dyDescent="0.2">
      <c r="A47" s="38">
        <v>48</v>
      </c>
      <c r="B47" s="39" t="s">
        <v>14</v>
      </c>
      <c r="C47" s="40">
        <v>168</v>
      </c>
      <c r="D47" s="42">
        <v>83</v>
      </c>
      <c r="E47" s="42">
        <f t="shared" si="0"/>
        <v>0.50595238095238093</v>
      </c>
    </row>
    <row r="48" spans="1:5" x14ac:dyDescent="0.2">
      <c r="A48" s="38">
        <v>49</v>
      </c>
      <c r="B48" s="39" t="s">
        <v>14</v>
      </c>
      <c r="C48" s="40">
        <v>155</v>
      </c>
      <c r="D48" s="42">
        <v>0</v>
      </c>
      <c r="E48" s="42">
        <f t="shared" si="0"/>
        <v>1</v>
      </c>
    </row>
    <row r="49" spans="1:5" x14ac:dyDescent="0.2">
      <c r="A49" s="38">
        <v>50</v>
      </c>
      <c r="B49" s="39" t="s">
        <v>14</v>
      </c>
      <c r="C49" s="40">
        <v>171</v>
      </c>
      <c r="D49" s="42">
        <v>126</v>
      </c>
      <c r="E49" s="42">
        <f t="shared" si="0"/>
        <v>0.26315789473684215</v>
      </c>
    </row>
    <row r="50" spans="1:5" x14ac:dyDescent="0.2">
      <c r="A50" s="38">
        <v>51</v>
      </c>
      <c r="B50" s="39" t="s">
        <v>14</v>
      </c>
      <c r="C50" s="40">
        <v>130</v>
      </c>
      <c r="D50" s="42">
        <v>0</v>
      </c>
      <c r="E50" s="42">
        <f t="shared" si="0"/>
        <v>1</v>
      </c>
    </row>
    <row r="51" spans="1:5" x14ac:dyDescent="0.2">
      <c r="A51" s="38">
        <v>52</v>
      </c>
      <c r="B51" s="39" t="s">
        <v>14</v>
      </c>
      <c r="C51" s="40">
        <v>130</v>
      </c>
      <c r="D51" s="42">
        <v>128</v>
      </c>
      <c r="E51" s="42">
        <f t="shared" si="0"/>
        <v>1.538461538461533E-2</v>
      </c>
    </row>
    <row r="52" spans="1:5" x14ac:dyDescent="0.2">
      <c r="A52" s="38">
        <v>53</v>
      </c>
      <c r="B52" s="39" t="s">
        <v>14</v>
      </c>
      <c r="C52" s="40">
        <v>131</v>
      </c>
      <c r="D52" s="42">
        <v>25</v>
      </c>
      <c r="E52" s="42">
        <f t="shared" si="0"/>
        <v>0.80916030534351147</v>
      </c>
    </row>
    <row r="53" spans="1:5" x14ac:dyDescent="0.2">
      <c r="A53" s="38">
        <v>54</v>
      </c>
      <c r="B53" s="39" t="s">
        <v>14</v>
      </c>
      <c r="C53" s="40">
        <v>124</v>
      </c>
      <c r="D53" s="42">
        <v>0</v>
      </c>
      <c r="E53" s="42">
        <f t="shared" si="0"/>
        <v>1</v>
      </c>
    </row>
    <row r="54" spans="1:5" x14ac:dyDescent="0.2">
      <c r="A54" s="38">
        <v>55</v>
      </c>
      <c r="B54" s="39" t="s">
        <v>14</v>
      </c>
      <c r="C54" s="40">
        <v>119</v>
      </c>
      <c r="D54" s="42">
        <v>66</v>
      </c>
      <c r="E54" s="42">
        <f t="shared" si="0"/>
        <v>0.44537815126050417</v>
      </c>
    </row>
    <row r="55" spans="1:5" x14ac:dyDescent="0.2">
      <c r="A55" s="38">
        <v>56</v>
      </c>
      <c r="B55" s="39" t="s">
        <v>14</v>
      </c>
      <c r="C55" s="40">
        <v>147</v>
      </c>
      <c r="D55" s="42">
        <v>0</v>
      </c>
      <c r="E55" s="42">
        <f t="shared" si="0"/>
        <v>1</v>
      </c>
    </row>
    <row r="56" spans="1:5" x14ac:dyDescent="0.2">
      <c r="A56" s="38">
        <v>57</v>
      </c>
      <c r="B56" s="39" t="s">
        <v>14</v>
      </c>
      <c r="C56" s="40">
        <v>163</v>
      </c>
      <c r="D56" s="42">
        <v>0</v>
      </c>
      <c r="E56" s="42">
        <f t="shared" si="0"/>
        <v>1</v>
      </c>
    </row>
    <row r="57" spans="1:5" x14ac:dyDescent="0.2">
      <c r="A57" s="38">
        <v>58</v>
      </c>
      <c r="B57" s="39" t="s">
        <v>14</v>
      </c>
      <c r="C57" s="40">
        <v>127</v>
      </c>
      <c r="D57" s="42">
        <v>113</v>
      </c>
      <c r="E57" s="42">
        <f t="shared" si="0"/>
        <v>0.11023622047244097</v>
      </c>
    </row>
    <row r="58" spans="1:5" x14ac:dyDescent="0.2">
      <c r="A58" s="38">
        <v>59</v>
      </c>
      <c r="B58" s="39" t="s">
        <v>14</v>
      </c>
      <c r="C58" s="40">
        <v>128</v>
      </c>
      <c r="D58" s="42">
        <v>111</v>
      </c>
      <c r="E58" s="42">
        <f t="shared" si="0"/>
        <v>0.1328125</v>
      </c>
    </row>
    <row r="59" spans="1:5" x14ac:dyDescent="0.2">
      <c r="A59" s="38">
        <v>60</v>
      </c>
      <c r="B59" s="39" t="s">
        <v>14</v>
      </c>
      <c r="C59" s="40">
        <v>132</v>
      </c>
      <c r="D59" s="42">
        <v>0</v>
      </c>
      <c r="E59" s="42">
        <f t="shared" si="0"/>
        <v>1</v>
      </c>
    </row>
    <row r="60" spans="1:5" x14ac:dyDescent="0.2">
      <c r="A60" s="38">
        <v>61</v>
      </c>
      <c r="B60" s="39" t="s">
        <v>14</v>
      </c>
      <c r="C60" s="40">
        <v>121</v>
      </c>
      <c r="D60" s="42">
        <v>112</v>
      </c>
      <c r="E60" s="42">
        <f t="shared" si="0"/>
        <v>7.4380165289256173E-2</v>
      </c>
    </row>
    <row r="61" spans="1:5" x14ac:dyDescent="0.2">
      <c r="A61" s="38">
        <v>62</v>
      </c>
      <c r="B61" s="39" t="s">
        <v>14</v>
      </c>
      <c r="C61" s="40">
        <v>120</v>
      </c>
      <c r="D61" s="42">
        <v>10</v>
      </c>
      <c r="E61" s="42">
        <f t="shared" si="0"/>
        <v>0.91666666666666663</v>
      </c>
    </row>
    <row r="62" spans="1:5" x14ac:dyDescent="0.2">
      <c r="A62" s="38">
        <v>63</v>
      </c>
      <c r="B62" s="39" t="s">
        <v>14</v>
      </c>
      <c r="C62" s="40">
        <v>129</v>
      </c>
      <c r="D62" s="42">
        <v>128</v>
      </c>
      <c r="E62" s="42">
        <f t="shared" si="0"/>
        <v>7.7519379844961378E-3</v>
      </c>
    </row>
    <row r="63" spans="1:5" x14ac:dyDescent="0.2">
      <c r="A63" s="38">
        <v>64</v>
      </c>
      <c r="B63" s="39" t="s">
        <v>14</v>
      </c>
      <c r="C63" s="40">
        <v>110</v>
      </c>
      <c r="D63" s="42">
        <v>0</v>
      </c>
      <c r="E63" s="42">
        <f t="shared" si="0"/>
        <v>1</v>
      </c>
    </row>
    <row r="64" spans="1:5" x14ac:dyDescent="0.2">
      <c r="A64" s="38">
        <v>65</v>
      </c>
      <c r="B64" s="39" t="s">
        <v>14</v>
      </c>
      <c r="C64" s="40">
        <v>100</v>
      </c>
      <c r="D64" s="42">
        <v>97</v>
      </c>
      <c r="E64" s="42">
        <f t="shared" si="0"/>
        <v>3.0000000000000027E-2</v>
      </c>
    </row>
    <row r="65" spans="1:5" x14ac:dyDescent="0.2">
      <c r="A65" s="38">
        <v>66</v>
      </c>
      <c r="B65" s="39" t="s">
        <v>14</v>
      </c>
      <c r="C65" s="40">
        <v>123</v>
      </c>
      <c r="D65" s="42">
        <v>14</v>
      </c>
      <c r="E65" s="42">
        <f t="shared" si="0"/>
        <v>0.88617886178861793</v>
      </c>
    </row>
    <row r="66" spans="1:5" x14ac:dyDescent="0.2">
      <c r="A66" s="38">
        <v>67</v>
      </c>
      <c r="B66" s="39" t="s">
        <v>14</v>
      </c>
      <c r="C66" s="40">
        <v>199</v>
      </c>
      <c r="D66" s="42">
        <v>32</v>
      </c>
      <c r="E66" s="42">
        <f t="shared" si="0"/>
        <v>0.83919597989949746</v>
      </c>
    </row>
    <row r="67" spans="1:5" x14ac:dyDescent="0.2">
      <c r="A67" s="38">
        <v>68</v>
      </c>
      <c r="B67" s="39" t="s">
        <v>14</v>
      </c>
      <c r="C67" s="40">
        <v>148</v>
      </c>
      <c r="D67" s="42">
        <v>31</v>
      </c>
      <c r="E67" s="42">
        <f t="shared" ref="E67:E79" si="1">1-D67/C67</f>
        <v>0.79054054054054057</v>
      </c>
    </row>
    <row r="68" spans="1:5" x14ac:dyDescent="0.2">
      <c r="A68" s="38">
        <v>69</v>
      </c>
      <c r="B68" s="39" t="s">
        <v>14</v>
      </c>
      <c r="C68" s="40">
        <v>158</v>
      </c>
      <c r="D68" s="42">
        <v>146</v>
      </c>
      <c r="E68" s="42">
        <f t="shared" si="1"/>
        <v>7.5949367088607556E-2</v>
      </c>
    </row>
    <row r="69" spans="1:5" x14ac:dyDescent="0.2">
      <c r="A69" s="38">
        <v>70</v>
      </c>
      <c r="B69" s="39" t="s">
        <v>14</v>
      </c>
      <c r="C69" s="40">
        <v>124</v>
      </c>
      <c r="D69" s="42">
        <v>52</v>
      </c>
      <c r="E69" s="42">
        <f t="shared" si="1"/>
        <v>0.58064516129032251</v>
      </c>
    </row>
    <row r="70" spans="1:5" x14ac:dyDescent="0.2">
      <c r="A70" s="38">
        <v>71</v>
      </c>
      <c r="B70" s="39" t="s">
        <v>14</v>
      </c>
      <c r="C70" s="40">
        <v>129</v>
      </c>
      <c r="D70" s="42">
        <v>100</v>
      </c>
      <c r="E70" s="42">
        <f t="shared" si="1"/>
        <v>0.22480620155038755</v>
      </c>
    </row>
    <row r="71" spans="1:5" x14ac:dyDescent="0.2">
      <c r="A71" s="38">
        <v>72</v>
      </c>
      <c r="B71" s="39" t="s">
        <v>14</v>
      </c>
      <c r="C71" s="40">
        <v>132</v>
      </c>
      <c r="D71" s="42">
        <v>9</v>
      </c>
      <c r="E71" s="42">
        <f t="shared" si="1"/>
        <v>0.93181818181818188</v>
      </c>
    </row>
    <row r="72" spans="1:5" x14ac:dyDescent="0.2">
      <c r="A72" s="38">
        <v>73</v>
      </c>
      <c r="B72" s="39" t="s">
        <v>14</v>
      </c>
      <c r="C72" s="40">
        <v>121</v>
      </c>
      <c r="D72" s="42">
        <v>0</v>
      </c>
      <c r="E72" s="42">
        <f t="shared" si="1"/>
        <v>1</v>
      </c>
    </row>
    <row r="73" spans="1:5" x14ac:dyDescent="0.2">
      <c r="A73" s="38">
        <v>74</v>
      </c>
      <c r="B73" s="39" t="s">
        <v>14</v>
      </c>
      <c r="C73" s="40">
        <v>173</v>
      </c>
      <c r="D73" s="42">
        <v>172</v>
      </c>
      <c r="E73" s="42">
        <f t="shared" si="1"/>
        <v>5.7803468208093012E-3</v>
      </c>
    </row>
    <row r="74" spans="1:5" x14ac:dyDescent="0.2">
      <c r="A74" s="38">
        <v>75</v>
      </c>
      <c r="B74" s="39" t="s">
        <v>14</v>
      </c>
      <c r="C74" s="40">
        <v>135</v>
      </c>
      <c r="D74" s="42">
        <v>0</v>
      </c>
      <c r="E74" s="42">
        <f t="shared" si="1"/>
        <v>1</v>
      </c>
    </row>
    <row r="75" spans="1:5" x14ac:dyDescent="0.2">
      <c r="A75" s="38">
        <v>76</v>
      </c>
      <c r="B75" s="39" t="s">
        <v>14</v>
      </c>
      <c r="C75" s="40">
        <v>134</v>
      </c>
      <c r="D75" s="42">
        <v>61</v>
      </c>
      <c r="E75" s="42">
        <f t="shared" si="1"/>
        <v>0.54477611940298509</v>
      </c>
    </row>
    <row r="76" spans="1:5" x14ac:dyDescent="0.2">
      <c r="A76" s="38">
        <v>77</v>
      </c>
      <c r="B76" s="39" t="s">
        <v>14</v>
      </c>
      <c r="C76" s="40">
        <v>125</v>
      </c>
      <c r="D76" s="42">
        <v>3</v>
      </c>
      <c r="E76" s="42">
        <f t="shared" si="1"/>
        <v>0.97599999999999998</v>
      </c>
    </row>
    <row r="77" spans="1:5" x14ac:dyDescent="0.2">
      <c r="A77" s="38">
        <v>78</v>
      </c>
      <c r="B77" s="39" t="s">
        <v>14</v>
      </c>
      <c r="C77" s="40">
        <v>136</v>
      </c>
      <c r="D77" s="42">
        <v>0</v>
      </c>
      <c r="E77" s="42">
        <f t="shared" si="1"/>
        <v>1</v>
      </c>
    </row>
    <row r="78" spans="1:5" x14ac:dyDescent="0.2">
      <c r="A78" s="38">
        <v>79</v>
      </c>
      <c r="B78" s="39" t="s">
        <v>14</v>
      </c>
      <c r="C78" s="40">
        <v>108</v>
      </c>
      <c r="D78" s="42">
        <v>0</v>
      </c>
      <c r="E78" s="42">
        <f t="shared" si="1"/>
        <v>1</v>
      </c>
    </row>
    <row r="79" spans="1:5" x14ac:dyDescent="0.2">
      <c r="A79" s="38">
        <v>80</v>
      </c>
      <c r="B79" s="39" t="s">
        <v>14</v>
      </c>
      <c r="C79" s="40">
        <v>72</v>
      </c>
      <c r="D79" s="42">
        <v>0</v>
      </c>
      <c r="E79" s="42">
        <f t="shared" si="1"/>
        <v>1</v>
      </c>
    </row>
    <row r="80" spans="1:5" x14ac:dyDescent="0.2">
      <c r="A80" s="14" t="s">
        <v>6</v>
      </c>
      <c r="C80" s="17">
        <f>AVERAGE(C2:C79)</f>
        <v>146.32051282051282</v>
      </c>
      <c r="D80" s="43"/>
      <c r="E80" s="6">
        <f>AVERAGE(E2:E79)</f>
        <v>0.61911718410168415</v>
      </c>
    </row>
    <row r="83" spans="1:1" x14ac:dyDescent="0.2">
      <c r="A83" s="14" t="s">
        <v>20</v>
      </c>
    </row>
    <row r="84" spans="1:1" x14ac:dyDescent="0.2">
      <c r="A84" s="14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31</vt:lpstr>
      <vt:lpstr>23</vt:lpstr>
      <vt:lpstr>15</vt:lpstr>
      <vt:lpstr>13</vt:lpstr>
      <vt:lpstr>12</vt:lpstr>
      <vt:lpstr>11</vt:lpstr>
      <vt:lpstr>9</vt:lpstr>
      <vt:lpstr>7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</dc:creator>
  <cp:lastModifiedBy>Lili Jiang</cp:lastModifiedBy>
  <dcterms:created xsi:type="dcterms:W3CDTF">2015-06-05T18:19:34Z</dcterms:created>
  <dcterms:modified xsi:type="dcterms:W3CDTF">2026-04-30T06:01:42Z</dcterms:modified>
</cp:coreProperties>
</file>